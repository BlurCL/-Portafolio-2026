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b464d60d548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" sheetId="1" r:id="R2b0f59b9c5e84170"/>
    <x:sheet xmlns:r="http://schemas.openxmlformats.org/officeDocument/2006/relationships" name="Resumen" sheetId="2" r:id="R2ad44925a248405e"/>
    <x:sheet xmlns:r="http://schemas.openxmlformats.org/officeDocument/2006/relationships" name="Catalogos" sheetId="3" r:id="R22a8234937004c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-yyyy"/>
    <x:numFmt numFmtId="201" formatCode="dd-mmm"/>
    <x:numFmt numFmtId="202" formatCode="0%"/>
    <x:numFmt numFmtId="203" formatCode=";;;"/>
  </x:numFmts>
  <x:fonts count="12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8"/>
      <x:color rgb="FFFFFFFF"/>
      <x:name val="Carlito"/>
    </x:font>
    <x:font>
      <x:b/>
      <x:sz val="11"/>
      <x:color rgb="FF0F172A"/>
      <x:name val="Carlito"/>
    </x:font>
    <x:font>
      <x:b/>
      <x:sz val="10"/>
      <x:color rgb="FFFFFFFF"/>
      <x:name val="Calibri"/>
    </x:font>
    <x:font>
      <x:sz val="10"/>
      <x:name val="Calibri"/>
    </x:font>
    <x:font>
      <x:sz val="11"/>
      <x:name val="Calibri"/>
    </x:font>
    <x:font>
      <x:b/>
      <x:sz val="18"/>
      <x:color rgb="FFFFFFFF"/>
      <x:name val="Calibri"/>
    </x:font>
    <x:font>
      <x:b/>
      <x:sz val="11"/>
      <x:color rgb="FFFFFFFF"/>
      <x:name val="Calibri"/>
    </x:font>
    <x:font>
      <x:b/>
      <x:sz val="11"/>
      <x:color rgb="FF0F172A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201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203" fontId="3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center" vertical="center" wrapText="1"/>
    </x:xf>
    <x:xf numFmtId="201" fontId="6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vertical="center" wrapText="1"/>
    </x:xf>
    <x:xf numFmtId="203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6" fillId="2" borderId="1" xfId="0" applyNumberFormat="1" applyFont="1" applyFill="1" applyBorder="1" applyAlignment="1">
      <x:alignment horizontal="center" vertical="center" wrapText="1"/>
    </x:xf>
    <x:xf numFmtId="201" fontId="6" fillId="2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2" fontId="7" fillId="0" borderId="1" xfId="0" applyNumberFormat="1" applyFont="1" applyFill="1" applyBorder="1" applyAlignment="1">
      <x:alignment vertical="center" wrapText="1"/>
    </x:xf>
    <x:xf numFmtId="203" fontId="7" fillId="0" borderId="1" xfId="0" applyNumberFormat="1" applyFont="1" applyFill="1" applyBorder="1"/>
    <x:xf numFmtId="0" fontId="8" fillId="0" borderId="1" xfId="0" applyNumberFormat="1" applyFont="1" applyFill="1" applyBorder="1"/>
    <x:xf numFmtId="0" fontId="9" fillId="2" borderId="0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/>
    <x:xf numFmtId="200" fontId="8" fillId="0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horizontal="left"/>
    </x:xf>
    <x:xf numFmtId="0" fontId="9" fillId="2" borderId="1" xfId="0" applyNumberFormat="1" applyFont="1" applyFill="1" applyBorder="1" applyAlignment="1">
      <x:alignment horizontal="center" vertical="center"/>
    </x:xf>
    <x:xf numFmtId="0" fontId="10" fillId="2" borderId="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wrapText="1"/>
    </x:xf>
    <x:xf numFmtId="202" fontId="8" fillId="0" borderId="1" xfId="0" applyNumberFormat="1" applyFont="1" applyFill="1" applyBorder="1"/>
    <x:xf numFmtId="200" fontId="8" fillId="0" borderId="1" xfId="0" applyNumberFormat="1" applyFont="1" applyFill="1" applyBorder="1" applyAlignment="1">
      <x:alignment wrapText="1"/>
    </x:xf>
    <x:xf numFmtId="202" fontId="8" fillId="0" borderId="1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horizontal="left"/>
    </x:xf>
  </x:cellXfs>
  <x:cellStyles count="1">
    <x:cellStyle name="Normal" xfId="0"/>
  </x:cellStyles>
  <x:dxfs count="6">
    <x:dxf>
      <x:fill>
        <x:patternFill patternType="solid">
          <x:bgColor rgb="FF22C55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ill>
        <x:patternFill patternType="solid">
          <x:bgColor rgb="FF22C55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6198c2d6b34384" /><Relationship Type="http://schemas.openxmlformats.org/officeDocument/2006/relationships/theme" Target="/xl/theme/theme1.xml" Id="R2ddf616fcc944ff9" /><Relationship Type="http://schemas.openxmlformats.org/officeDocument/2006/relationships/sharedStrings" Target="/xl/sharedStrings.xml" Id="Rbc699a78b19b460f" /><Relationship Type="http://schemas.openxmlformats.org/officeDocument/2006/relationships/worksheet" Target="/xl/worksheets/sheet1.xml" Id="R2b0f59b9c5e84170" /><Relationship Type="http://schemas.openxmlformats.org/officeDocument/2006/relationships/worksheet" Target="/xl/worksheets/sheet2.xml" Id="R2ad44925a248405e" /><Relationship Type="http://schemas.openxmlformats.org/officeDocument/2006/relationships/worksheet" Target="/xl/worksheets/sheet3.xml" Id="R22a8234937004c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b2ada17e6147c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Actividades por fase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Actividades</c:v>
          </c:tx>
          <c:cat>
            <c:strRef>
              <c:f>'Resumen'!$D$4:$D$18</c:f>
              <c:strCache>
                <c:ptCount val="0"/>
              </c:strCache>
            </c:strRef>
          </c:cat>
          <c:val>
            <c:numRef>
              <c:f>'Resumen'!$E$4:$E$18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b2ada17e6147c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Actividades" displayName="TablaActividades" ref="A1:K26" headerRowCount="1">
  <x:tableColumns count="11">
    <x:tableColumn id="1" name="ID"/>
    <x:tableColumn id="2" name="Fase"/>
    <x:tableColumn id="3" name="Actividad"/>
    <x:tableColumn id="4" name="Responsable"/>
    <x:tableColumn id="5" name="Inicio"/>
    <x:tableColumn id="6" name="Término"/>
    <x:tableColumn id="7" name="Duración días"/>
    <x:tableColumn id="8" name="% Avance"/>
    <x:tableColumn id="9" name="Estado"/>
    <x:tableColumn id="10" name="Entregable"/>
    <x:tableColumn id="11" name="Dependenc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06fea7b1b947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024763d0a114e85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44" hidden="0" customWidth="1"/>
    <x:col min="4" max="4" width="14" hidden="0" customWidth="1"/>
    <x:col min="5" max="5" width="12" hidden="0" customWidth="1"/>
    <x:col min="6" max="6" width="12" hidden="0" customWidth="1"/>
    <x:col min="7" max="7" width="11" hidden="0" customWidth="1"/>
    <x:col min="8" max="8" width="10" hidden="0" customWidth="1"/>
    <x:col min="9" max="9" width="13" hidden="0" customWidth="1"/>
    <x:col min="10" max="10" width="36" hidden="0" customWidth="1"/>
    <x:col min="11" max="11" width="12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  <x:col min="21" max="21" width="4" hidden="0" customWidth="1"/>
    <x:col min="22" max="22" width="4" hidden="0" customWidth="1"/>
    <x:col min="23" max="23" width="4" hidden="0" customWidth="1"/>
    <x:col min="24" max="24" width="4" hidden="0" customWidth="1"/>
    <x:col min="25" max="25" width="4" hidden="0" customWidth="1"/>
    <x:col min="26" max="26" width="4" hidden="0" customWidth="1"/>
    <x:col min="27" max="27" width="4" hidden="0" customWidth="1"/>
    <x:col min="28" max="28" width="4" hidden="0" customWidth="1"/>
    <x:col min="29" max="29" width="4" hidden="0" customWidth="1"/>
  </x:cols>
  <x:sheetData>
    <x:row r="1" ht="32" customHeight="1">
      <x:c r="A1" s="56" t="str">
        <x:v>ID</x:v>
      </x:c>
      <x:c r="B1" s="56" t="str">
        <x:v>Fase</x:v>
      </x:c>
      <x:c r="C1" s="56" t="str">
        <x:v>Actividad</x:v>
      </x:c>
      <x:c r="D1" s="56" t="str">
        <x:v>Responsable</x:v>
      </x:c>
      <x:c r="E1" s="56" t="str">
        <x:v>Inicio</x:v>
      </x:c>
      <x:c r="F1" s="56" t="str">
        <x:v>Término</x:v>
      </x:c>
      <x:c r="G1" s="56" t="str">
        <x:v>Duración días</x:v>
      </x:c>
      <x:c r="H1" s="56" t="str">
        <x:v>% Avance</x:v>
      </x:c>
      <x:c r="I1" s="56" t="str">
        <x:v>Estado</x:v>
      </x:c>
      <x:c r="J1" s="56" t="str">
        <x:v>Entregable</x:v>
      </x:c>
      <x:c r="K1" s="56" t="str">
        <x:v>Dependencia</x:v>
      </x:c>
      <x:c r="L1" s="57" t="n">
        <x:v>46090</x:v>
      </x:c>
      <x:c r="M1" s="57" t="n">
        <x:v>46097</x:v>
      </x:c>
      <x:c r="N1" s="57" t="n">
        <x:v>46104</x:v>
      </x:c>
      <x:c r="O1" s="57" t="n">
        <x:v>46111</x:v>
      </x:c>
      <x:c r="P1" s="57" t="n">
        <x:v>46118</x:v>
      </x:c>
      <x:c r="Q1" s="57" t="n">
        <x:v>46125</x:v>
      </x:c>
      <x:c r="R1" s="57" t="n">
        <x:v>46132</x:v>
      </x:c>
      <x:c r="S1" s="57" t="n">
        <x:v>46139</x:v>
      </x:c>
      <x:c r="T1" s="57" t="n">
        <x:v>46146</x:v>
      </x:c>
      <x:c r="U1" s="57" t="n">
        <x:v>46153</x:v>
      </x:c>
      <x:c r="V1" s="57" t="n">
        <x:v>46160</x:v>
      </x:c>
      <x:c r="W1" s="57" t="n">
        <x:v>46167</x:v>
      </x:c>
      <x:c r="X1" s="57" t="n">
        <x:v>46174</x:v>
      </x:c>
      <x:c r="Y1" s="57" t="n">
        <x:v>46181</x:v>
      </x:c>
      <x:c r="Z1" s="57" t="n">
        <x:v>46188</x:v>
      </x:c>
      <x:c r="AA1" s="33" t="n">
        <x:v>46195</x:v>
      </x:c>
      <x:c r="AB1" s="33" t="n">
        <x:v>46202</x:v>
      </x:c>
      <x:c r="AC1" s="33" t="n">
        <x:v>46209</x:v>
      </x:c>
    </x:row>
    <x:row r="2">
      <x:c r="A2" s="58" t="n">
        <x:v>1</x:v>
      </x:c>
      <x:c r="B2" s="58" t="str">
        <x:v>Inicio y análisis</x:v>
      </x:c>
      <x:c r="C2" s="58" t="str">
        <x:v>Inicio del proyecto y organización del equipo</x:v>
      </x:c>
      <x:c r="D2" s="58" t="str">
        <x:v>Equipo</x:v>
      </x:c>
      <x:c r="E2" s="59" t="n">
        <x:v>46091</x:v>
      </x:c>
      <x:c r="F2" s="59" t="n">
        <x:v>46096</x:v>
      </x:c>
      <x:c r="G2" s="58" t="n">
        <x:f>F2-E2+1</x:f>
        <x:v>6</x:v>
      </x:c>
      <x:c r="H2" s="60" t="n">
        <x:v>1</x:v>
      </x:c>
      <x:c r="I2" s="58" t="str">
        <x:v>Completado</x:v>
      </x:c>
      <x:c r="J2" s="58" t="str">
        <x:v>Plan inicial y acuerdo de trabajo</x:v>
      </x:c>
      <x:c r="K2" s="58" t="str"/>
      <x:c r="L2" s="61" t="n">
        <x:f>IF(AND($E2&lt;=L$1+6,$F2&gt;=L$1),1,"")</x:f>
        <x:v>1</x:v>
      </x:c>
      <x:c r="M2" s="61" t="str">
        <x:f>IF(AND($E2&lt;=M$1+6,$F2&gt;=M$1),1,"")</x:f>
      </x:c>
      <x:c r="N2" s="61" t="str">
        <x:f>IF(AND($E2&lt;=N$1+6,$F2&gt;=N$1),1,"")</x:f>
      </x:c>
      <x:c r="O2" s="61" t="str">
        <x:f>IF(AND($E2&lt;=O$1+6,$F2&gt;=O$1),1,"")</x:f>
      </x:c>
      <x:c r="P2" s="61" t="str">
        <x:f>IF(AND($E2&lt;=P$1+6,$F2&gt;=P$1),1,"")</x:f>
      </x:c>
      <x:c r="Q2" s="61" t="str">
        <x:f>IF(AND($E2&lt;=Q$1+6,$F2&gt;=Q$1),1,"")</x:f>
      </x:c>
      <x:c r="R2" s="61" t="str">
        <x:f>IF(AND($E2&lt;=R$1+6,$F2&gt;=R$1),1,"")</x:f>
      </x:c>
      <x:c r="S2" s="61" t="str">
        <x:f>IF(AND($E2&lt;=S$1+6,$F2&gt;=S$1),1,"")</x:f>
      </x:c>
      <x:c r="T2" s="61" t="str">
        <x:f>IF(AND($E2&lt;=T$1+6,$F2&gt;=T$1),1,"")</x:f>
      </x:c>
      <x:c r="U2" s="61" t="str">
        <x:f>IF(AND($E2&lt;=U$1+6,$F2&gt;=U$1),1,"")</x:f>
      </x:c>
      <x:c r="V2" s="61" t="str">
        <x:f>IF(AND($E2&lt;=V$1+6,$F2&gt;=V$1),1,"")</x:f>
      </x:c>
      <x:c r="W2" s="61" t="str">
        <x:f>IF(AND($E2&lt;=W$1+6,$F2&gt;=W$1),1,"")</x:f>
      </x:c>
      <x:c r="X2" s="61" t="str">
        <x:f>IF(AND($E2&lt;=X$1+6,$F2&gt;=X$1),1,"")</x:f>
      </x:c>
      <x:c r="Y2" s="61" t="str">
        <x:f>IF(AND($E2&lt;=Y$1+6,$F2&gt;=Y$1),1,"")</x:f>
      </x:c>
      <x:c r="Z2" s="61" t="str">
        <x:f>IF(AND($E2&lt;=Z$1+6,$F2&gt;=Z$1),1,"")</x:f>
      </x:c>
      <x:c r="AA2" s="37" t="str">
        <x:f>IF(AND($E2&lt;=AA$1+6,$F2&gt;=AA$1),1,"")</x:f>
      </x:c>
      <x:c r="AB2" s="37" t="str">
        <x:f>IF(AND($E2&lt;=AB$1+6,$F2&gt;=AB$1),1,"")</x:f>
      </x:c>
      <x:c r="AC2" s="37" t="str">
        <x:f>IF(AND($E2&lt;=AC$1+6,$F2&gt;=AC$1),1,"")</x:f>
      </x:c>
    </x:row>
    <x:row r="3">
      <x:c r="A3" s="58" t="n">
        <x:v>2</x:v>
      </x:c>
      <x:c r="B3" s="58" t="str">
        <x:v>Planificación y alcance</x:v>
      </x:c>
      <x:c r="C3" s="58" t="str">
        <x:v>Levantamiento de contexto, problema y oportunidad</x:v>
      </x:c>
      <x:c r="D3" s="58" t="str">
        <x:v>Equipo</x:v>
      </x:c>
      <x:c r="E3" s="59" t="n">
        <x:v>46097</x:v>
      </x:c>
      <x:c r="F3" s="59" t="n">
        <x:v>46103</x:v>
      </x:c>
      <x:c r="G3" s="58" t="n">
        <x:f>F3-E3+1</x:f>
        <x:v>7</x:v>
      </x:c>
      <x:c r="H3" s="60" t="n">
        <x:v>1</x:v>
      </x:c>
      <x:c r="I3" s="58" t="str">
        <x:v>Completado</x:v>
      </x:c>
      <x:c r="J3" s="58" t="str">
        <x:v>Problema, oportunidad, causas y efectos</x:v>
      </x:c>
      <x:c r="K3" s="58" t="str">
        <x:v>1</x:v>
      </x:c>
      <x:c r="L3" s="61" t="str">
        <x:f>IF(AND($E3&lt;=L$1+6,$F3&gt;=L$1),1,"")</x:f>
      </x:c>
      <x:c r="M3" s="61" t="n">
        <x:f>IF(AND($E3&lt;=M$1+6,$F3&gt;=M$1),1,"")</x:f>
        <x:v>1</x:v>
      </x:c>
      <x:c r="N3" s="61" t="str">
        <x:f>IF(AND($E3&lt;=N$1+6,$F3&gt;=N$1),1,"")</x:f>
      </x:c>
      <x:c r="O3" s="61" t="str">
        <x:f>IF(AND($E3&lt;=O$1+6,$F3&gt;=O$1),1,"")</x:f>
      </x:c>
      <x:c r="P3" s="61" t="str">
        <x:f>IF(AND($E3&lt;=P$1+6,$F3&gt;=P$1),1,"")</x:f>
      </x:c>
      <x:c r="Q3" s="61" t="str">
        <x:f>IF(AND($E3&lt;=Q$1+6,$F3&gt;=Q$1),1,"")</x:f>
      </x:c>
      <x:c r="R3" s="61" t="str">
        <x:f>IF(AND($E3&lt;=R$1+6,$F3&gt;=R$1),1,"")</x:f>
      </x:c>
      <x:c r="S3" s="61" t="str">
        <x:f>IF(AND($E3&lt;=S$1+6,$F3&gt;=S$1),1,"")</x:f>
      </x:c>
      <x:c r="T3" s="61" t="str">
        <x:f>IF(AND($E3&lt;=T$1+6,$F3&gt;=T$1),1,"")</x:f>
      </x:c>
      <x:c r="U3" s="61" t="str">
        <x:f>IF(AND($E3&lt;=U$1+6,$F3&gt;=U$1),1,"")</x:f>
      </x:c>
      <x:c r="V3" s="61" t="str">
        <x:f>IF(AND($E3&lt;=V$1+6,$F3&gt;=V$1),1,"")</x:f>
      </x:c>
      <x:c r="W3" s="61" t="str">
        <x:f>IF(AND($E3&lt;=W$1+6,$F3&gt;=W$1),1,"")</x:f>
      </x:c>
      <x:c r="X3" s="61" t="str">
        <x:f>IF(AND($E3&lt;=X$1+6,$F3&gt;=X$1),1,"")</x:f>
      </x:c>
      <x:c r="Y3" s="61" t="str">
        <x:f>IF(AND($E3&lt;=Y$1+6,$F3&gt;=Y$1),1,"")</x:f>
      </x:c>
      <x:c r="Z3" s="61" t="str">
        <x:f>IF(AND($E3&lt;=Z$1+6,$F3&gt;=Z$1),1,"")</x:f>
      </x:c>
      <x:c r="AA3" s="37" t="str">
        <x:f>IF(AND($E3&lt;=AA$1+6,$F3&gt;=AA$1),1,"")</x:f>
      </x:c>
      <x:c r="AB3" s="37" t="str">
        <x:f>IF(AND($E3&lt;=AB$1+6,$F3&gt;=AB$1),1,"")</x:f>
      </x:c>
      <x:c r="AC3" s="37" t="str">
        <x:f>IF(AND($E3&lt;=AC$1+6,$F3&gt;=AC$1),1,"")</x:f>
      </x:c>
    </x:row>
    <x:row r="4">
      <x:c r="A4" s="58" t="n">
        <x:v>3</x:v>
      </x:c>
      <x:c r="B4" s="58" t="str">
        <x:v>Planificación y alcance</x:v>
      </x:c>
      <x:c r="C4" s="58" t="str">
        <x:v>Definición de objetivo general, objetivos específicos y alcance</x:v>
      </x:c>
      <x:c r="D4" s="58" t="str">
        <x:v>Equipo</x:v>
      </x:c>
      <x:c r="E4" s="59" t="n">
        <x:v>46104</x:v>
      </x:c>
      <x:c r="F4" s="59" t="n">
        <x:v>46110</x:v>
      </x:c>
      <x:c r="G4" s="58" t="n">
        <x:f>F4-E4+1</x:f>
        <x:v>7</x:v>
      </x:c>
      <x:c r="H4" s="60" t="n">
        <x:v>1</x:v>
      </x:c>
      <x:c r="I4" s="58" t="str">
        <x:v>Completado</x:v>
      </x:c>
      <x:c r="J4" s="58" t="str">
        <x:v>Objetivos, alcance, supuestos y restricciones</x:v>
      </x:c>
      <x:c r="K4" s="58" t="str">
        <x:v>2</x:v>
      </x:c>
      <x:c r="L4" s="61" t="str">
        <x:f>IF(AND($E4&lt;=L$1+6,$F4&gt;=L$1),1,"")</x:f>
      </x:c>
      <x:c r="M4" s="61" t="str">
        <x:f>IF(AND($E4&lt;=M$1+6,$F4&gt;=M$1),1,"")</x:f>
      </x:c>
      <x:c r="N4" s="61" t="n">
        <x:f>IF(AND($E4&lt;=N$1+6,$F4&gt;=N$1),1,"")</x:f>
        <x:v>1</x:v>
      </x:c>
      <x:c r="O4" s="61" t="str">
        <x:f>IF(AND($E4&lt;=O$1+6,$F4&gt;=O$1),1,"")</x:f>
      </x:c>
      <x:c r="P4" s="61" t="str">
        <x:f>IF(AND($E4&lt;=P$1+6,$F4&gt;=P$1),1,"")</x:f>
      </x:c>
      <x:c r="Q4" s="61" t="str">
        <x:f>IF(AND($E4&lt;=Q$1+6,$F4&gt;=Q$1),1,"")</x:f>
      </x:c>
      <x:c r="R4" s="61" t="str">
        <x:f>IF(AND($E4&lt;=R$1+6,$F4&gt;=R$1),1,"")</x:f>
      </x:c>
      <x:c r="S4" s="61" t="str">
        <x:f>IF(AND($E4&lt;=S$1+6,$F4&gt;=S$1),1,"")</x:f>
      </x:c>
      <x:c r="T4" s="61" t="str">
        <x:f>IF(AND($E4&lt;=T$1+6,$F4&gt;=T$1),1,"")</x:f>
      </x:c>
      <x:c r="U4" s="61" t="str">
        <x:f>IF(AND($E4&lt;=U$1+6,$F4&gt;=U$1),1,"")</x:f>
      </x:c>
      <x:c r="V4" s="61" t="str">
        <x:f>IF(AND($E4&lt;=V$1+6,$F4&gt;=V$1),1,"")</x:f>
      </x:c>
      <x:c r="W4" s="61" t="str">
        <x:f>IF(AND($E4&lt;=W$1+6,$F4&gt;=W$1),1,"")</x:f>
      </x:c>
      <x:c r="X4" s="61" t="str">
        <x:f>IF(AND($E4&lt;=X$1+6,$F4&gt;=X$1),1,"")</x:f>
      </x:c>
      <x:c r="Y4" s="61" t="str">
        <x:f>IF(AND($E4&lt;=Y$1+6,$F4&gt;=Y$1),1,"")</x:f>
      </x:c>
      <x:c r="Z4" s="61" t="str">
        <x:f>IF(AND($E4&lt;=Z$1+6,$F4&gt;=Z$1),1,"")</x:f>
      </x:c>
      <x:c r="AA4" s="37" t="str">
        <x:f>IF(AND($E4&lt;=AA$1+6,$F4&gt;=AA$1),1,"")</x:f>
      </x:c>
      <x:c r="AB4" s="37" t="str">
        <x:f>IF(AND($E4&lt;=AB$1+6,$F4&gt;=AB$1),1,"")</x:f>
      </x:c>
      <x:c r="AC4" s="37" t="str">
        <x:f>IF(AND($E4&lt;=AC$1+6,$F4&gt;=AC$1),1,"")</x:f>
      </x:c>
    </x:row>
    <x:row r="5">
      <x:c r="A5" s="58" t="n">
        <x:v>4</x:v>
      </x:c>
      <x:c r="B5" s="58" t="str">
        <x:v>Diseño funcional</x:v>
      </x:c>
      <x:c r="C5" s="58" t="str">
        <x:v>Requerimientos funcionales y no funcionales</x:v>
      </x:c>
      <x:c r="D5" s="58" t="str">
        <x:v>Equipo</x:v>
      </x:c>
      <x:c r="E5" s="59" t="n">
        <x:v>46111</x:v>
      </x:c>
      <x:c r="F5" s="59" t="n">
        <x:v>46117</x:v>
      </x:c>
      <x:c r="G5" s="58" t="n">
        <x:f>F5-E5+1</x:f>
        <x:v>7</x:v>
      </x:c>
      <x:c r="H5" s="60" t="n">
        <x:v>1</x:v>
      </x:c>
      <x:c r="I5" s="58" t="str">
        <x:v>Completado</x:v>
      </x:c>
      <x:c r="J5" s="58" t="str">
        <x:v>Documento de requerimientos</x:v>
      </x:c>
      <x:c r="K5" s="58" t="str">
        <x:v>3</x:v>
      </x:c>
      <x:c r="L5" s="61" t="str">
        <x:f>IF(AND($E5&lt;=L$1+6,$F5&gt;=L$1),1,"")</x:f>
      </x:c>
      <x:c r="M5" s="61" t="str">
        <x:f>IF(AND($E5&lt;=M$1+6,$F5&gt;=M$1),1,"")</x:f>
      </x:c>
      <x:c r="N5" s="61" t="str">
        <x:f>IF(AND($E5&lt;=N$1+6,$F5&gt;=N$1),1,"")</x:f>
      </x:c>
      <x:c r="O5" s="61" t="n">
        <x:f>IF(AND($E5&lt;=O$1+6,$F5&gt;=O$1),1,"")</x:f>
        <x:v>1</x:v>
      </x:c>
      <x:c r="P5" s="61" t="str">
        <x:f>IF(AND($E5&lt;=P$1+6,$F5&gt;=P$1),1,"")</x:f>
      </x:c>
      <x:c r="Q5" s="61" t="str">
        <x:f>IF(AND($E5&lt;=Q$1+6,$F5&gt;=Q$1),1,"")</x:f>
      </x:c>
      <x:c r="R5" s="61" t="str">
        <x:f>IF(AND($E5&lt;=R$1+6,$F5&gt;=R$1),1,"")</x:f>
      </x:c>
      <x:c r="S5" s="61" t="str">
        <x:f>IF(AND($E5&lt;=S$1+6,$F5&gt;=S$1),1,"")</x:f>
      </x:c>
      <x:c r="T5" s="61" t="str">
        <x:f>IF(AND($E5&lt;=T$1+6,$F5&gt;=T$1),1,"")</x:f>
      </x:c>
      <x:c r="U5" s="61" t="str">
        <x:f>IF(AND($E5&lt;=U$1+6,$F5&gt;=U$1),1,"")</x:f>
      </x:c>
      <x:c r="V5" s="61" t="str">
        <x:f>IF(AND($E5&lt;=V$1+6,$F5&gt;=V$1),1,"")</x:f>
      </x:c>
      <x:c r="W5" s="61" t="str">
        <x:f>IF(AND($E5&lt;=W$1+6,$F5&gt;=W$1),1,"")</x:f>
      </x:c>
      <x:c r="X5" s="61" t="str">
        <x:f>IF(AND($E5&lt;=X$1+6,$F5&gt;=X$1),1,"")</x:f>
      </x:c>
      <x:c r="Y5" s="61" t="str">
        <x:f>IF(AND($E5&lt;=Y$1+6,$F5&gt;=Y$1),1,"")</x:f>
      </x:c>
      <x:c r="Z5" s="61" t="str">
        <x:f>IF(AND($E5&lt;=Z$1+6,$F5&gt;=Z$1),1,"")</x:f>
      </x:c>
      <x:c r="AA5" s="37" t="str">
        <x:f>IF(AND($E5&lt;=AA$1+6,$F5&gt;=AA$1),1,"")</x:f>
      </x:c>
      <x:c r="AB5" s="37" t="str">
        <x:f>IF(AND($E5&lt;=AB$1+6,$F5&gt;=AB$1),1,"")</x:f>
      </x:c>
      <x:c r="AC5" s="37" t="str">
        <x:f>IF(AND($E5&lt;=AC$1+6,$F5&gt;=AC$1),1,"")</x:f>
      </x:c>
    </x:row>
    <x:row r="6">
      <x:c r="A6" s="58" t="n">
        <x:v>5</x:v>
      </x:c>
      <x:c r="B6" s="58" t="str">
        <x:v>Diseño funcional</x:v>
      </x:c>
      <x:c r="C6" s="58" t="str">
        <x:v>Casos de uso y flujo funcional del usuario</x:v>
      </x:c>
      <x:c r="D6" s="58" t="str">
        <x:v>Equipo</x:v>
      </x:c>
      <x:c r="E6" s="59" t="n">
        <x:v>46113</x:v>
      </x:c>
      <x:c r="F6" s="59" t="n">
        <x:v>46122</x:v>
      </x:c>
      <x:c r="G6" s="58" t="n">
        <x:f>F6-E6+1</x:f>
        <x:v>10</x:v>
      </x:c>
      <x:c r="H6" s="60" t="n">
        <x:v>1</x:v>
      </x:c>
      <x:c r="I6" s="58" t="str">
        <x:v>Completado</x:v>
      </x:c>
      <x:c r="J6" s="58" t="str">
        <x:v>Casos de uso y diagrama de flujo</x:v>
      </x:c>
      <x:c r="K6" s="58" t="str">
        <x:v>4</x:v>
      </x:c>
      <x:c r="L6" s="61" t="str">
        <x:f>IF(AND($E6&lt;=L$1+6,$F6&gt;=L$1),1,"")</x:f>
      </x:c>
      <x:c r="M6" s="61" t="str">
        <x:f>IF(AND($E6&lt;=M$1+6,$F6&gt;=M$1),1,"")</x:f>
      </x:c>
      <x:c r="N6" s="61" t="str">
        <x:f>IF(AND($E6&lt;=N$1+6,$F6&gt;=N$1),1,"")</x:f>
      </x:c>
      <x:c r="O6" s="61" t="n">
        <x:f>IF(AND($E6&lt;=O$1+6,$F6&gt;=O$1),1,"")</x:f>
        <x:v>1</x:v>
      </x:c>
      <x:c r="P6" s="61" t="n">
        <x:f>IF(AND($E6&lt;=P$1+6,$F6&gt;=P$1),1,"")</x:f>
        <x:v>1</x:v>
      </x:c>
      <x:c r="Q6" s="61" t="str">
        <x:f>IF(AND($E6&lt;=Q$1+6,$F6&gt;=Q$1),1,"")</x:f>
      </x:c>
      <x:c r="R6" s="61" t="str">
        <x:f>IF(AND($E6&lt;=R$1+6,$F6&gt;=R$1),1,"")</x:f>
      </x:c>
      <x:c r="S6" s="61" t="str">
        <x:f>IF(AND($E6&lt;=S$1+6,$F6&gt;=S$1),1,"")</x:f>
      </x:c>
      <x:c r="T6" s="61" t="str">
        <x:f>IF(AND($E6&lt;=T$1+6,$F6&gt;=T$1),1,"")</x:f>
      </x:c>
      <x:c r="U6" s="61" t="str">
        <x:f>IF(AND($E6&lt;=U$1+6,$F6&gt;=U$1),1,"")</x:f>
      </x:c>
      <x:c r="V6" s="61" t="str">
        <x:f>IF(AND($E6&lt;=V$1+6,$F6&gt;=V$1),1,"")</x:f>
      </x:c>
      <x:c r="W6" s="61" t="str">
        <x:f>IF(AND($E6&lt;=W$1+6,$F6&gt;=W$1),1,"")</x:f>
      </x:c>
      <x:c r="X6" s="61" t="str">
        <x:f>IF(AND($E6&lt;=X$1+6,$F6&gt;=X$1),1,"")</x:f>
      </x:c>
      <x:c r="Y6" s="61" t="str">
        <x:f>IF(AND($E6&lt;=Y$1+6,$F6&gt;=Y$1),1,"")</x:f>
      </x:c>
      <x:c r="Z6" s="61" t="str">
        <x:f>IF(AND($E6&lt;=Z$1+6,$F6&gt;=Z$1),1,"")</x:f>
      </x:c>
      <x:c r="AA6" s="37" t="str">
        <x:f>IF(AND($E6&lt;=AA$1+6,$F6&gt;=AA$1),1,"")</x:f>
      </x:c>
      <x:c r="AB6" s="37" t="str">
        <x:f>IF(AND($E6&lt;=AB$1+6,$F6&gt;=AB$1),1,"")</x:f>
      </x:c>
      <x:c r="AC6" s="37" t="str">
        <x:f>IF(AND($E6&lt;=AC$1+6,$F6&gt;=AC$1),1,"")</x:f>
      </x:c>
    </x:row>
    <x:row r="7">
      <x:c r="A7" s="58" t="n">
        <x:v>6</x:v>
      </x:c>
      <x:c r="B7" s="58" t="str">
        <x:v>Diseño técnico</x:v>
      </x:c>
      <x:c r="C7" s="58" t="str">
        <x:v>Arquitectura general y diagramas de microservicios</x:v>
      </x:c>
      <x:c r="D7" s="58" t="str">
        <x:v>Consuelo</x:v>
      </x:c>
      <x:c r="E7" s="59" t="n">
        <x:v>46119</x:v>
      </x:c>
      <x:c r="F7" s="59" t="n">
        <x:v>46130</x:v>
      </x:c>
      <x:c r="G7" s="58" t="n">
        <x:f>F7-E7+1</x:f>
        <x:v>12</x:v>
      </x:c>
      <x:c r="H7" s="60" t="n">
        <x:v>1</x:v>
      </x:c>
      <x:c r="I7" s="58" t="str">
        <x:v>Completado</x:v>
      </x:c>
      <x:c r="J7" s="58" t="str">
        <x:v>Diagramas técnicos y arquitectura</x:v>
      </x:c>
      <x:c r="K7" s="58" t="str">
        <x:v>5</x:v>
      </x:c>
      <x:c r="L7" s="61" t="str">
        <x:f>IF(AND($E7&lt;=L$1+6,$F7&gt;=L$1),1,"")</x:f>
      </x:c>
      <x:c r="M7" s="61" t="str">
        <x:f>IF(AND($E7&lt;=M$1+6,$F7&gt;=M$1),1,"")</x:f>
      </x:c>
      <x:c r="N7" s="61" t="str">
        <x:f>IF(AND($E7&lt;=N$1+6,$F7&gt;=N$1),1,"")</x:f>
      </x:c>
      <x:c r="O7" s="61" t="str">
        <x:f>IF(AND($E7&lt;=O$1+6,$F7&gt;=O$1),1,"")</x:f>
      </x:c>
      <x:c r="P7" s="61" t="n">
        <x:f>IF(AND($E7&lt;=P$1+6,$F7&gt;=P$1),1,"")</x:f>
        <x:v>1</x:v>
      </x:c>
      <x:c r="Q7" s="61" t="n">
        <x:f>IF(AND($E7&lt;=Q$1+6,$F7&gt;=Q$1),1,"")</x:f>
        <x:v>1</x:v>
      </x:c>
      <x:c r="R7" s="61" t="str">
        <x:f>IF(AND($E7&lt;=R$1+6,$F7&gt;=R$1),1,"")</x:f>
      </x:c>
      <x:c r="S7" s="61" t="str">
        <x:f>IF(AND($E7&lt;=S$1+6,$F7&gt;=S$1),1,"")</x:f>
      </x:c>
      <x:c r="T7" s="61" t="str">
        <x:f>IF(AND($E7&lt;=T$1+6,$F7&gt;=T$1),1,"")</x:f>
      </x:c>
      <x:c r="U7" s="61" t="str">
        <x:f>IF(AND($E7&lt;=U$1+6,$F7&gt;=U$1),1,"")</x:f>
      </x:c>
      <x:c r="V7" s="61" t="str">
        <x:f>IF(AND($E7&lt;=V$1+6,$F7&gt;=V$1),1,"")</x:f>
      </x:c>
      <x:c r="W7" s="61" t="str">
        <x:f>IF(AND($E7&lt;=W$1+6,$F7&gt;=W$1),1,"")</x:f>
      </x:c>
      <x:c r="X7" s="61" t="str">
        <x:f>IF(AND($E7&lt;=X$1+6,$F7&gt;=X$1),1,"")</x:f>
      </x:c>
      <x:c r="Y7" s="61" t="str">
        <x:f>IF(AND($E7&lt;=Y$1+6,$F7&gt;=Y$1),1,"")</x:f>
      </x:c>
      <x:c r="Z7" s="61" t="str">
        <x:f>IF(AND($E7&lt;=Z$1+6,$F7&gt;=Z$1),1,"")</x:f>
      </x:c>
      <x:c r="AA7" s="37" t="str">
        <x:f>IF(AND($E7&lt;=AA$1+6,$F7&gt;=AA$1),1,"")</x:f>
      </x:c>
      <x:c r="AB7" s="37" t="str">
        <x:f>IF(AND($E7&lt;=AB$1+6,$F7&gt;=AB$1),1,"")</x:f>
      </x:c>
      <x:c r="AC7" s="37" t="str">
        <x:f>IF(AND($E7&lt;=AC$1+6,$F7&gt;=AC$1),1,"")</x:f>
      </x:c>
    </x:row>
    <x:row r="8">
      <x:c r="A8" s="58" t="n">
        <x:v>7</x:v>
      </x:c>
      <x:c r="B8" s="58" t="str">
        <x:v>Diseño técnico</x:v>
      </x:c>
      <x:c r="C8" s="58" t="str">
        <x:v>Modelo de base de datos y MER</x:v>
      </x:c>
      <x:c r="D8" s="58" t="str">
        <x:v>Consuelo</x:v>
      </x:c>
      <x:c r="E8" s="59" t="n">
        <x:v>46119</x:v>
      </x:c>
      <x:c r="F8" s="59" t="n">
        <x:v>46137</x:v>
      </x:c>
      <x:c r="G8" s="58" t="n">
        <x:f>F8-E8+1</x:f>
        <x:v>19</x:v>
      </x:c>
      <x:c r="H8" s="60" t="n">
        <x:v>1</x:v>
      </x:c>
      <x:c r="I8" s="58" t="str">
        <x:v>Completado</x:v>
      </x:c>
      <x:c r="J8" s="58" t="str">
        <x:v>MER y tablas principales</x:v>
      </x:c>
      <x:c r="K8" s="58" t="str">
        <x:v>6</x:v>
      </x:c>
      <x:c r="L8" s="61" t="str">
        <x:f>IF(AND($E8&lt;=L$1+6,$F8&gt;=L$1),1,"")</x:f>
      </x:c>
      <x:c r="M8" s="61" t="str">
        <x:f>IF(AND($E8&lt;=M$1+6,$F8&gt;=M$1),1,"")</x:f>
      </x:c>
      <x:c r="N8" s="61" t="str">
        <x:f>IF(AND($E8&lt;=N$1+6,$F8&gt;=N$1),1,"")</x:f>
      </x:c>
      <x:c r="O8" s="61" t="str">
        <x:f>IF(AND($E8&lt;=O$1+6,$F8&gt;=O$1),1,"")</x:f>
      </x:c>
      <x:c r="P8" s="61" t="n">
        <x:f>IF(AND($E8&lt;=P$1+6,$F8&gt;=P$1),1,"")</x:f>
        <x:v>1</x:v>
      </x:c>
      <x:c r="Q8" s="61" t="n">
        <x:f>IF(AND($E8&lt;=Q$1+6,$F8&gt;=Q$1),1,"")</x:f>
        <x:v>1</x:v>
      </x:c>
      <x:c r="R8" s="61" t="n">
        <x:f>IF(AND($E8&lt;=R$1+6,$F8&gt;=R$1),1,"")</x:f>
        <x:v>1</x:v>
      </x:c>
      <x:c r="S8" s="61" t="str">
        <x:f>IF(AND($E8&lt;=S$1+6,$F8&gt;=S$1),1,"")</x:f>
      </x:c>
      <x:c r="T8" s="61" t="str">
        <x:f>IF(AND($E8&lt;=T$1+6,$F8&gt;=T$1),1,"")</x:f>
      </x:c>
      <x:c r="U8" s="61" t="str">
        <x:f>IF(AND($E8&lt;=U$1+6,$F8&gt;=U$1),1,"")</x:f>
      </x:c>
      <x:c r="V8" s="61" t="str">
        <x:f>IF(AND($E8&lt;=V$1+6,$F8&gt;=V$1),1,"")</x:f>
      </x:c>
      <x:c r="W8" s="61" t="str">
        <x:f>IF(AND($E8&lt;=W$1+6,$F8&gt;=W$1),1,"")</x:f>
      </x:c>
      <x:c r="X8" s="61" t="str">
        <x:f>IF(AND($E8&lt;=X$1+6,$F8&gt;=X$1),1,"")</x:f>
      </x:c>
      <x:c r="Y8" s="61" t="str">
        <x:f>IF(AND($E8&lt;=Y$1+6,$F8&gt;=Y$1),1,"")</x:f>
      </x:c>
      <x:c r="Z8" s="61" t="str">
        <x:f>IF(AND($E8&lt;=Z$1+6,$F8&gt;=Z$1),1,"")</x:f>
      </x:c>
      <x:c r="AA8" s="37" t="str">
        <x:f>IF(AND($E8&lt;=AA$1+6,$F8&gt;=AA$1),1,"")</x:f>
      </x:c>
      <x:c r="AB8" s="37" t="str">
        <x:f>IF(AND($E8&lt;=AB$1+6,$F8&gt;=AB$1),1,"")</x:f>
      </x:c>
      <x:c r="AC8" s="37" t="str">
        <x:f>IF(AND($E8&lt;=AC$1+6,$F8&gt;=AC$1),1,"")</x:f>
      </x:c>
    </x:row>
    <x:row r="9">
      <x:c r="A9" s="58" t="n">
        <x:v>8</x:v>
      </x:c>
      <x:c r="B9" s="58" t="str">
        <x:v>Ambiente</x:v>
      </x:c>
      <x:c r="C9" s="58" t="str">
        <x:v>Configuración del repositorio, ambiente local y herramientas</x:v>
      </x:c>
      <x:c r="D9" s="58" t="str">
        <x:v>Equipo</x:v>
      </x:c>
      <x:c r="E9" s="59" t="n">
        <x:v>46126</x:v>
      </x:c>
      <x:c r="F9" s="59" t="n">
        <x:v>46137</x:v>
      </x:c>
      <x:c r="G9" s="58" t="n">
        <x:f>F9-E9+1</x:f>
        <x:v>12</x:v>
      </x:c>
      <x:c r="H9" s="60" t="n">
        <x:v>1</x:v>
      </x:c>
      <x:c r="I9" s="58" t="str">
        <x:v>Completado</x:v>
      </x:c>
      <x:c r="J9" s="58" t="str">
        <x:v>Java 17, Maven, Node, Git, Postman, Docker</x:v>
      </x:c>
      <x:c r="K9" s="58" t="str">
        <x:v>6</x:v>
      </x:c>
      <x:c r="L9" s="61" t="str">
        <x:f>IF(AND($E9&lt;=L$1+6,$F9&gt;=L$1),1,"")</x:f>
      </x:c>
      <x:c r="M9" s="61" t="str">
        <x:f>IF(AND($E9&lt;=M$1+6,$F9&gt;=M$1),1,"")</x:f>
      </x:c>
      <x:c r="N9" s="61" t="str">
        <x:f>IF(AND($E9&lt;=N$1+6,$F9&gt;=N$1),1,"")</x:f>
      </x:c>
      <x:c r="O9" s="61" t="str">
        <x:f>IF(AND($E9&lt;=O$1+6,$F9&gt;=O$1),1,"")</x:f>
      </x:c>
      <x:c r="P9" s="61" t="str">
        <x:f>IF(AND($E9&lt;=P$1+6,$F9&gt;=P$1),1,"")</x:f>
      </x:c>
      <x:c r="Q9" s="61" t="n">
        <x:f>IF(AND($E9&lt;=Q$1+6,$F9&gt;=Q$1),1,"")</x:f>
        <x:v>1</x:v>
      </x:c>
      <x:c r="R9" s="61" t="n">
        <x:f>IF(AND($E9&lt;=R$1+6,$F9&gt;=R$1),1,"")</x:f>
        <x:v>1</x:v>
      </x:c>
      <x:c r="S9" s="61" t="str">
        <x:f>IF(AND($E9&lt;=S$1+6,$F9&gt;=S$1),1,"")</x:f>
      </x:c>
      <x:c r="T9" s="61" t="str">
        <x:f>IF(AND($E9&lt;=T$1+6,$F9&gt;=T$1),1,"")</x:f>
      </x:c>
      <x:c r="U9" s="61" t="str">
        <x:f>IF(AND($E9&lt;=U$1+6,$F9&gt;=U$1),1,"")</x:f>
      </x:c>
      <x:c r="V9" s="61" t="str">
        <x:f>IF(AND($E9&lt;=V$1+6,$F9&gt;=V$1),1,"")</x:f>
      </x:c>
      <x:c r="W9" s="61" t="str">
        <x:f>IF(AND($E9&lt;=W$1+6,$F9&gt;=W$1),1,"")</x:f>
      </x:c>
      <x:c r="X9" s="61" t="str">
        <x:f>IF(AND($E9&lt;=X$1+6,$F9&gt;=X$1),1,"")</x:f>
      </x:c>
      <x:c r="Y9" s="61" t="str">
        <x:f>IF(AND($E9&lt;=Y$1+6,$F9&gt;=Y$1),1,"")</x:f>
      </x:c>
      <x:c r="Z9" s="61" t="str">
        <x:f>IF(AND($E9&lt;=Z$1+6,$F9&gt;=Z$1),1,"")</x:f>
      </x:c>
      <x:c r="AA9" s="37" t="str">
        <x:f>IF(AND($E9&lt;=AA$1+6,$F9&gt;=AA$1),1,"")</x:f>
      </x:c>
      <x:c r="AB9" s="37" t="str">
        <x:f>IF(AND($E9&lt;=AB$1+6,$F9&gt;=AB$1),1,"")</x:f>
      </x:c>
      <x:c r="AC9" s="37" t="str">
        <x:f>IF(AND($E9&lt;=AC$1+6,$F9&gt;=AC$1),1,"")</x:f>
      </x:c>
    </x:row>
    <x:row r="10">
      <x:c r="A10" s="58" t="n">
        <x:v>9</x:v>
      </x:c>
      <x:c r="B10" s="58" t="str">
        <x:v>Desarrollo backend</x:v>
      </x:c>
      <x:c r="C10" s="58" t="str">
        <x:v>usuario-service: registro, login, JWT y roles</x:v>
      </x:c>
      <x:c r="D10" s="58" t="str">
        <x:v>Cristóbal</x:v>
      </x:c>
      <x:c r="E10" s="59" t="n">
        <x:v>46133</x:v>
      </x:c>
      <x:c r="F10" s="59" t="n">
        <x:v>46151</x:v>
      </x:c>
      <x:c r="G10" s="58" t="n">
        <x:f>F10-E10+1</x:f>
        <x:v>19</x:v>
      </x:c>
      <x:c r="H10" s="60" t="n">
        <x:v>1</x:v>
      </x:c>
      <x:c r="I10" s="58" t="str">
        <x:v>Completado</x:v>
      </x:c>
      <x:c r="J10" s="58" t="str">
        <x:v>Microservicio de usuarios</x:v>
      </x:c>
      <x:c r="K10" s="58" t="str">
        <x:v>8</x:v>
      </x:c>
      <x:c r="L10" s="61" t="str">
        <x:f>IF(AND($E10&lt;=L$1+6,$F10&gt;=L$1),1,"")</x:f>
      </x:c>
      <x:c r="M10" s="61" t="str">
        <x:f>IF(AND($E10&lt;=M$1+6,$F10&gt;=M$1),1,"")</x:f>
      </x:c>
      <x:c r="N10" s="61" t="str">
        <x:f>IF(AND($E10&lt;=N$1+6,$F10&gt;=N$1),1,"")</x:f>
      </x:c>
      <x:c r="O10" s="61" t="str">
        <x:f>IF(AND($E10&lt;=O$1+6,$F10&gt;=O$1),1,"")</x:f>
      </x:c>
      <x:c r="P10" s="61" t="str">
        <x:f>IF(AND($E10&lt;=P$1+6,$F10&gt;=P$1),1,"")</x:f>
      </x:c>
      <x:c r="Q10" s="61" t="str">
        <x:f>IF(AND($E10&lt;=Q$1+6,$F10&gt;=Q$1),1,"")</x:f>
      </x:c>
      <x:c r="R10" s="61" t="n">
        <x:f>IF(AND($E10&lt;=R$1+6,$F10&gt;=R$1),1,"")</x:f>
        <x:v>1</x:v>
      </x:c>
      <x:c r="S10" s="61" t="n">
        <x:f>IF(AND($E10&lt;=S$1+6,$F10&gt;=S$1),1,"")</x:f>
        <x:v>1</x:v>
      </x:c>
      <x:c r="T10" s="61" t="n">
        <x:f>IF(AND($E10&lt;=T$1+6,$F10&gt;=T$1),1,"")</x:f>
        <x:v>1</x:v>
      </x:c>
      <x:c r="U10" s="61" t="str">
        <x:f>IF(AND($E10&lt;=U$1+6,$F10&gt;=U$1),1,"")</x:f>
      </x:c>
      <x:c r="V10" s="61" t="str">
        <x:f>IF(AND($E10&lt;=V$1+6,$F10&gt;=V$1),1,"")</x:f>
      </x:c>
      <x:c r="W10" s="61" t="str">
        <x:f>IF(AND($E10&lt;=W$1+6,$F10&gt;=W$1),1,"")</x:f>
      </x:c>
      <x:c r="X10" s="61" t="str">
        <x:f>IF(AND($E10&lt;=X$1+6,$F10&gt;=X$1),1,"")</x:f>
      </x:c>
      <x:c r="Y10" s="61" t="str">
        <x:f>IF(AND($E10&lt;=Y$1+6,$F10&gt;=Y$1),1,"")</x:f>
      </x:c>
      <x:c r="Z10" s="61" t="str">
        <x:f>IF(AND($E10&lt;=Z$1+6,$F10&gt;=Z$1),1,"")</x:f>
      </x:c>
      <x:c r="AA10" s="37" t="str">
        <x:f>IF(AND($E10&lt;=AA$1+6,$F10&gt;=AA$1),1,"")</x:f>
      </x:c>
      <x:c r="AB10" s="37" t="str">
        <x:f>IF(AND($E10&lt;=AB$1+6,$F10&gt;=AB$1),1,"")</x:f>
      </x:c>
      <x:c r="AC10" s="37" t="str">
        <x:f>IF(AND($E10&lt;=AC$1+6,$F10&gt;=AC$1),1,"")</x:f>
      </x:c>
    </x:row>
    <x:row r="11">
      <x:c r="A11" s="58" t="n">
        <x:v>10</x:v>
      </x:c>
      <x:c r="B11" s="58" t="str">
        <x:v>Desarrollo backend</x:v>
      </x:c>
      <x:c r="C11" s="58" t="str">
        <x:v>obras-service: obras, medidas y validaciones</x:v>
      </x:c>
      <x:c r="D11" s="58" t="str">
        <x:v>Consuelo</x:v>
      </x:c>
      <x:c r="E11" s="59" t="n">
        <x:v>46133</x:v>
      </x:c>
      <x:c r="F11" s="59" t="n">
        <x:v>46151</x:v>
      </x:c>
      <x:c r="G11" s="58" t="n">
        <x:f>F11-E11+1</x:f>
        <x:v>19</x:v>
      </x:c>
      <x:c r="H11" s="60" t="n">
        <x:v>1</x:v>
      </x:c>
      <x:c r="I11" s="58" t="str">
        <x:v>Completado</x:v>
      </x:c>
      <x:c r="J11" s="58" t="str">
        <x:v>Microservicio de obras</x:v>
      </x:c>
      <x:c r="K11" s="58" t="str">
        <x:v>8</x:v>
      </x:c>
      <x:c r="L11" s="61" t="str">
        <x:f>IF(AND($E11&lt;=L$1+6,$F11&gt;=L$1),1,"")</x:f>
      </x:c>
      <x:c r="M11" s="61" t="str">
        <x:f>IF(AND($E11&lt;=M$1+6,$F11&gt;=M$1),1,"")</x:f>
      </x:c>
      <x:c r="N11" s="61" t="str">
        <x:f>IF(AND($E11&lt;=N$1+6,$F11&gt;=N$1),1,"")</x:f>
      </x:c>
      <x:c r="O11" s="61" t="str">
        <x:f>IF(AND($E11&lt;=O$1+6,$F11&gt;=O$1),1,"")</x:f>
      </x:c>
      <x:c r="P11" s="61" t="str">
        <x:f>IF(AND($E11&lt;=P$1+6,$F11&gt;=P$1),1,"")</x:f>
      </x:c>
      <x:c r="Q11" s="61" t="str">
        <x:f>IF(AND($E11&lt;=Q$1+6,$F11&gt;=Q$1),1,"")</x:f>
      </x:c>
      <x:c r="R11" s="61" t="n">
        <x:f>IF(AND($E11&lt;=R$1+6,$F11&gt;=R$1),1,"")</x:f>
        <x:v>1</x:v>
      </x:c>
      <x:c r="S11" s="61" t="n">
        <x:f>IF(AND($E11&lt;=S$1+6,$F11&gt;=S$1),1,"")</x:f>
        <x:v>1</x:v>
      </x:c>
      <x:c r="T11" s="61" t="n">
        <x:f>IF(AND($E11&lt;=T$1+6,$F11&gt;=T$1),1,"")</x:f>
        <x:v>1</x:v>
      </x:c>
      <x:c r="U11" s="61" t="str">
        <x:f>IF(AND($E11&lt;=U$1+6,$F11&gt;=U$1),1,"")</x:f>
      </x:c>
      <x:c r="V11" s="61" t="str">
        <x:f>IF(AND($E11&lt;=V$1+6,$F11&gt;=V$1),1,"")</x:f>
      </x:c>
      <x:c r="W11" s="61" t="str">
        <x:f>IF(AND($E11&lt;=W$1+6,$F11&gt;=W$1),1,"")</x:f>
      </x:c>
      <x:c r="X11" s="61" t="str">
        <x:f>IF(AND($E11&lt;=X$1+6,$F11&gt;=X$1),1,"")</x:f>
      </x:c>
      <x:c r="Y11" s="61" t="str">
        <x:f>IF(AND($E11&lt;=Y$1+6,$F11&gt;=Y$1),1,"")</x:f>
      </x:c>
      <x:c r="Z11" s="61" t="str">
        <x:f>IF(AND($E11&lt;=Z$1+6,$F11&gt;=Z$1),1,"")</x:f>
      </x:c>
      <x:c r="AA11" s="37" t="str">
        <x:f>IF(AND($E11&lt;=AA$1+6,$F11&gt;=AA$1),1,"")</x:f>
      </x:c>
      <x:c r="AB11" s="37" t="str">
        <x:f>IF(AND($E11&lt;=AB$1+6,$F11&gt;=AB$1),1,"")</x:f>
      </x:c>
      <x:c r="AC11" s="37" t="str">
        <x:f>IF(AND($E11&lt;=AC$1+6,$F11&gt;=AC$1),1,"")</x:f>
      </x:c>
    </x:row>
    <x:row r="12">
      <x:c r="A12" s="58" t="n">
        <x:v>11</x:v>
      </x:c>
      <x:c r="B12" s="58" t="str">
        <x:v>Desarrollo backend</x:v>
      </x:c>
      <x:c r="C12" s="58" t="str">
        <x:v>calculo-service: reglas, materiales y presupuestos</x:v>
      </x:c>
      <x:c r="D12" s="58" t="str">
        <x:v>Consuelo</x:v>
      </x:c>
      <x:c r="E12" s="59" t="n">
        <x:v>46140</x:v>
      </x:c>
      <x:c r="F12" s="59" t="n">
        <x:v>46158</x:v>
      </x:c>
      <x:c r="G12" s="58" t="n">
        <x:f>F12-E12+1</x:f>
        <x:v>19</x:v>
      </x:c>
      <x:c r="H12" s="60" t="n">
        <x:v>1</x:v>
      </x:c>
      <x:c r="I12" s="58" t="str">
        <x:v>Completado</x:v>
      </x:c>
      <x:c r="J12" s="58" t="str">
        <x:v>Microservicio de cálculo</x:v>
      </x:c>
      <x:c r="K12" s="58" t="str">
        <x:v>10</x:v>
      </x:c>
      <x:c r="L12" s="61" t="str">
        <x:f>IF(AND($E12&lt;=L$1+6,$F12&gt;=L$1),1,"")</x:f>
      </x:c>
      <x:c r="M12" s="61" t="str">
        <x:f>IF(AND($E12&lt;=M$1+6,$F12&gt;=M$1),1,"")</x:f>
      </x:c>
      <x:c r="N12" s="61" t="str">
        <x:f>IF(AND($E12&lt;=N$1+6,$F12&gt;=N$1),1,"")</x:f>
      </x:c>
      <x:c r="O12" s="61" t="str">
        <x:f>IF(AND($E12&lt;=O$1+6,$F12&gt;=O$1),1,"")</x:f>
      </x:c>
      <x:c r="P12" s="61" t="str">
        <x:f>IF(AND($E12&lt;=P$1+6,$F12&gt;=P$1),1,"")</x:f>
      </x:c>
      <x:c r="Q12" s="61" t="str">
        <x:f>IF(AND($E12&lt;=Q$1+6,$F12&gt;=Q$1),1,"")</x:f>
      </x:c>
      <x:c r="R12" s="61" t="str">
        <x:f>IF(AND($E12&lt;=R$1+6,$F12&gt;=R$1),1,"")</x:f>
      </x:c>
      <x:c r="S12" s="61" t="n">
        <x:f>IF(AND($E12&lt;=S$1+6,$F12&gt;=S$1),1,"")</x:f>
        <x:v>1</x:v>
      </x:c>
      <x:c r="T12" s="61" t="n">
        <x:f>IF(AND($E12&lt;=T$1+6,$F12&gt;=T$1),1,"")</x:f>
        <x:v>1</x:v>
      </x:c>
      <x:c r="U12" s="61" t="n">
        <x:f>IF(AND($E12&lt;=U$1+6,$F12&gt;=U$1),1,"")</x:f>
        <x:v>1</x:v>
      </x:c>
      <x:c r="V12" s="61" t="str">
        <x:f>IF(AND($E12&lt;=V$1+6,$F12&gt;=V$1),1,"")</x:f>
      </x:c>
      <x:c r="W12" s="61" t="str">
        <x:f>IF(AND($E12&lt;=W$1+6,$F12&gt;=W$1),1,"")</x:f>
      </x:c>
      <x:c r="X12" s="61" t="str">
        <x:f>IF(AND($E12&lt;=X$1+6,$F12&gt;=X$1),1,"")</x:f>
      </x:c>
      <x:c r="Y12" s="61" t="str">
        <x:f>IF(AND($E12&lt;=Y$1+6,$F12&gt;=Y$1),1,"")</x:f>
      </x:c>
      <x:c r="Z12" s="61" t="str">
        <x:f>IF(AND($E12&lt;=Z$1+6,$F12&gt;=Z$1),1,"")</x:f>
      </x:c>
      <x:c r="AA12" s="37" t="str">
        <x:f>IF(AND($E12&lt;=AA$1+6,$F12&gt;=AA$1),1,"")</x:f>
      </x:c>
      <x:c r="AB12" s="37" t="str">
        <x:f>IF(AND($E12&lt;=AB$1+6,$F12&gt;=AB$1),1,"")</x:f>
      </x:c>
      <x:c r="AC12" s="37" t="str">
        <x:f>IF(AND($E12&lt;=AC$1+6,$F12&gt;=AC$1),1,"")</x:f>
      </x:c>
    </x:row>
    <x:row r="13">
      <x:c r="A13" s="58" t="n">
        <x:v>12</x:v>
      </x:c>
      <x:c r="B13" s="58" t="str">
        <x:v>Desarrollo backend</x:v>
      </x:c>
      <x:c r="C13" s="58" t="str">
        <x:v>ferreteria-service: productos, cotizaciones y comparador</x:v>
      </x:c>
      <x:c r="D13" s="58" t="str">
        <x:v>Consuelo</x:v>
      </x:c>
      <x:c r="E13" s="59" t="n">
        <x:v>46147</x:v>
      </x:c>
      <x:c r="F13" s="59" t="n">
        <x:v>46165</x:v>
      </x:c>
      <x:c r="G13" s="58" t="n">
        <x:f>F13-E13+1</x:f>
        <x:v>19</x:v>
      </x:c>
      <x:c r="H13" s="60" t="n">
        <x:v>1</x:v>
      </x:c>
      <x:c r="I13" s="58" t="str">
        <x:v>Completado</x:v>
      </x:c>
      <x:c r="J13" s="58" t="str">
        <x:v>Microservicio de ferreterías</x:v>
      </x:c>
      <x:c r="K13" s="58" t="str">
        <x:v>11</x:v>
      </x:c>
      <x:c r="L13" s="61" t="str">
        <x:f>IF(AND($E13&lt;=L$1+6,$F13&gt;=L$1),1,"")</x:f>
      </x:c>
      <x:c r="M13" s="61" t="str">
        <x:f>IF(AND($E13&lt;=M$1+6,$F13&gt;=M$1),1,"")</x:f>
      </x:c>
      <x:c r="N13" s="61" t="str">
        <x:f>IF(AND($E13&lt;=N$1+6,$F13&gt;=N$1),1,"")</x:f>
      </x:c>
      <x:c r="O13" s="61" t="str">
        <x:f>IF(AND($E13&lt;=O$1+6,$F13&gt;=O$1),1,"")</x:f>
      </x:c>
      <x:c r="P13" s="61" t="str">
        <x:f>IF(AND($E13&lt;=P$1+6,$F13&gt;=P$1),1,"")</x:f>
      </x:c>
      <x:c r="Q13" s="61" t="str">
        <x:f>IF(AND($E13&lt;=Q$1+6,$F13&gt;=Q$1),1,"")</x:f>
      </x:c>
      <x:c r="R13" s="61" t="str">
        <x:f>IF(AND($E13&lt;=R$1+6,$F13&gt;=R$1),1,"")</x:f>
      </x:c>
      <x:c r="S13" s="61" t="str">
        <x:f>IF(AND($E13&lt;=S$1+6,$F13&gt;=S$1),1,"")</x:f>
      </x:c>
      <x:c r="T13" s="61" t="n">
        <x:f>IF(AND($E13&lt;=T$1+6,$F13&gt;=T$1),1,"")</x:f>
        <x:v>1</x:v>
      </x:c>
      <x:c r="U13" s="61" t="n">
        <x:f>IF(AND($E13&lt;=U$1+6,$F13&gt;=U$1),1,"")</x:f>
        <x:v>1</x:v>
      </x:c>
      <x:c r="V13" s="61" t="n">
        <x:f>IF(AND($E13&lt;=V$1+6,$F13&gt;=V$1),1,"")</x:f>
        <x:v>1</x:v>
      </x:c>
      <x:c r="W13" s="61" t="str">
        <x:f>IF(AND($E13&lt;=W$1+6,$F13&gt;=W$1),1,"")</x:f>
      </x:c>
      <x:c r="X13" s="61" t="str">
        <x:f>IF(AND($E13&lt;=X$1+6,$F13&gt;=X$1),1,"")</x:f>
      </x:c>
      <x:c r="Y13" s="61" t="str">
        <x:f>IF(AND($E13&lt;=Y$1+6,$F13&gt;=Y$1),1,"")</x:f>
      </x:c>
      <x:c r="Z13" s="61" t="str">
        <x:f>IF(AND($E13&lt;=Z$1+6,$F13&gt;=Z$1),1,"")</x:f>
      </x:c>
      <x:c r="AA13" s="37" t="str">
        <x:f>IF(AND($E13&lt;=AA$1+6,$F13&gt;=AA$1),1,"")</x:f>
      </x:c>
      <x:c r="AB13" s="37" t="str">
        <x:f>IF(AND($E13&lt;=AB$1+6,$F13&gt;=AB$1),1,"")</x:f>
      </x:c>
      <x:c r="AC13" s="37" t="str">
        <x:f>IF(AND($E13&lt;=AC$1+6,$F13&gt;=AC$1),1,"")</x:f>
      </x:c>
    </x:row>
    <x:row r="14">
      <x:c r="A14" s="58" t="n">
        <x:v>13</x:v>
      </x:c>
      <x:c r="B14" s="58" t="str">
        <x:v>Desarrollo frontend</x:v>
      </x:c>
      <x:c r="C14" s="58" t="str">
        <x:v>Frontend principal React/Vite: login, formulario y vistas</x:v>
      </x:c>
      <x:c r="D14" s="58" t="str">
        <x:v>Valentina</x:v>
      </x:c>
      <x:c r="E14" s="59" t="n">
        <x:v>46140</x:v>
      </x:c>
      <x:c r="F14" s="59" t="n">
        <x:v>46172</x:v>
      </x:c>
      <x:c r="G14" s="58" t="n">
        <x:f>F14-E14+1</x:f>
        <x:v>33</x:v>
      </x:c>
      <x:c r="H14" s="60" t="n">
        <x:v>1</x:v>
      </x:c>
      <x:c r="I14" s="58" t="str">
        <x:v>Completado</x:v>
      </x:c>
      <x:c r="J14" s="58" t="str">
        <x:v>Interfaz principal ConstruFácil</x:v>
      </x:c>
      <x:c r="K14" s="58" t="str">
        <x:v>4</x:v>
      </x:c>
      <x:c r="L14" s="61" t="str">
        <x:f>IF(AND($E14&lt;=L$1+6,$F14&gt;=L$1),1,"")</x:f>
      </x:c>
      <x:c r="M14" s="61" t="str">
        <x:f>IF(AND($E14&lt;=M$1+6,$F14&gt;=M$1),1,"")</x:f>
      </x:c>
      <x:c r="N14" s="61" t="str">
        <x:f>IF(AND($E14&lt;=N$1+6,$F14&gt;=N$1),1,"")</x:f>
      </x:c>
      <x:c r="O14" s="61" t="str">
        <x:f>IF(AND($E14&lt;=O$1+6,$F14&gt;=O$1),1,"")</x:f>
      </x:c>
      <x:c r="P14" s="61" t="str">
        <x:f>IF(AND($E14&lt;=P$1+6,$F14&gt;=P$1),1,"")</x:f>
      </x:c>
      <x:c r="Q14" s="61" t="str">
        <x:f>IF(AND($E14&lt;=Q$1+6,$F14&gt;=Q$1),1,"")</x:f>
      </x:c>
      <x:c r="R14" s="61" t="str">
        <x:f>IF(AND($E14&lt;=R$1+6,$F14&gt;=R$1),1,"")</x:f>
      </x:c>
      <x:c r="S14" s="61" t="n">
        <x:f>IF(AND($E14&lt;=S$1+6,$F14&gt;=S$1),1,"")</x:f>
        <x:v>1</x:v>
      </x:c>
      <x:c r="T14" s="61" t="n">
        <x:f>IF(AND($E14&lt;=T$1+6,$F14&gt;=T$1),1,"")</x:f>
        <x:v>1</x:v>
      </x:c>
      <x:c r="U14" s="61" t="n">
        <x:f>IF(AND($E14&lt;=U$1+6,$F14&gt;=U$1),1,"")</x:f>
        <x:v>1</x:v>
      </x:c>
      <x:c r="V14" s="61" t="n">
        <x:f>IF(AND($E14&lt;=V$1+6,$F14&gt;=V$1),1,"")</x:f>
        <x:v>1</x:v>
      </x:c>
      <x:c r="W14" s="61" t="n">
        <x:f>IF(AND($E14&lt;=W$1+6,$F14&gt;=W$1),1,"")</x:f>
        <x:v>1</x:v>
      </x:c>
      <x:c r="X14" s="61" t="str">
        <x:f>IF(AND($E14&lt;=X$1+6,$F14&gt;=X$1),1,"")</x:f>
      </x:c>
      <x:c r="Y14" s="61" t="str">
        <x:f>IF(AND($E14&lt;=Y$1+6,$F14&gt;=Y$1),1,"")</x:f>
      </x:c>
      <x:c r="Z14" s="61" t="str">
        <x:f>IF(AND($E14&lt;=Z$1+6,$F14&gt;=Z$1),1,"")</x:f>
      </x:c>
      <x:c r="AA14" s="37" t="str">
        <x:f>IF(AND($E14&lt;=AA$1+6,$F14&gt;=AA$1),1,"")</x:f>
      </x:c>
      <x:c r="AB14" s="37" t="str">
        <x:f>IF(AND($E14&lt;=AB$1+6,$F14&gt;=AB$1),1,"")</x:f>
      </x:c>
      <x:c r="AC14" s="37" t="str">
        <x:f>IF(AND($E14&lt;=AC$1+6,$F14&gt;=AC$1),1,"")</x:f>
      </x:c>
    </x:row>
    <x:row r="15">
      <x:c r="A15" s="58" t="n">
        <x:v>14</x:v>
      </x:c>
      <x:c r="B15" s="58" t="str">
        <x:v>Integración</x:v>
      </x:c>
      <x:c r="C15" s="58" t="str">
        <x:v>Integración frontend con microservicios y variables de entorno</x:v>
      </x:c>
      <x:c r="D15" s="58" t="str">
        <x:v>Consuelo</x:v>
      </x:c>
      <x:c r="E15" s="59" t="n">
        <x:v>46154</x:v>
      </x:c>
      <x:c r="F15" s="59" t="n">
        <x:v>46179</x:v>
      </x:c>
      <x:c r="G15" s="58" t="n">
        <x:f>F15-E15+1</x:f>
        <x:v>26</x:v>
      </x:c>
      <x:c r="H15" s="60" t="n">
        <x:v>1</x:v>
      </x:c>
      <x:c r="I15" s="58" t="str">
        <x:v>Completado</x:v>
      </x:c>
      <x:c r="J15" s="58" t="str">
        <x:v>Comunicación frontend-backend</x:v>
      </x:c>
      <x:c r="K15" s="58" t="str">
        <x:v>9,10,11,12,13</x:v>
      </x:c>
      <x:c r="L15" s="61" t="str">
        <x:f>IF(AND($E15&lt;=L$1+6,$F15&gt;=L$1),1,"")</x:f>
      </x:c>
      <x:c r="M15" s="61" t="str">
        <x:f>IF(AND($E15&lt;=M$1+6,$F15&gt;=M$1),1,"")</x:f>
      </x:c>
      <x:c r="N15" s="61" t="str">
        <x:f>IF(AND($E15&lt;=N$1+6,$F15&gt;=N$1),1,"")</x:f>
      </x:c>
      <x:c r="O15" s="61" t="str">
        <x:f>IF(AND($E15&lt;=O$1+6,$F15&gt;=O$1),1,"")</x:f>
      </x:c>
      <x:c r="P15" s="61" t="str">
        <x:f>IF(AND($E15&lt;=P$1+6,$F15&gt;=P$1),1,"")</x:f>
      </x:c>
      <x:c r="Q15" s="61" t="str">
        <x:f>IF(AND($E15&lt;=Q$1+6,$F15&gt;=Q$1),1,"")</x:f>
      </x:c>
      <x:c r="R15" s="61" t="str">
        <x:f>IF(AND($E15&lt;=R$1+6,$F15&gt;=R$1),1,"")</x:f>
      </x:c>
      <x:c r="S15" s="61" t="str">
        <x:f>IF(AND($E15&lt;=S$1+6,$F15&gt;=S$1),1,"")</x:f>
      </x:c>
      <x:c r="T15" s="61" t="str">
        <x:f>IF(AND($E15&lt;=T$1+6,$F15&gt;=T$1),1,"")</x:f>
      </x:c>
      <x:c r="U15" s="61" t="n">
        <x:f>IF(AND($E15&lt;=U$1+6,$F15&gt;=U$1),1,"")</x:f>
        <x:v>1</x:v>
      </x:c>
      <x:c r="V15" s="61" t="n">
        <x:f>IF(AND($E15&lt;=V$1+6,$F15&gt;=V$1),1,"")</x:f>
        <x:v>1</x:v>
      </x:c>
      <x:c r="W15" s="61" t="n">
        <x:f>IF(AND($E15&lt;=W$1+6,$F15&gt;=W$1),1,"")</x:f>
        <x:v>1</x:v>
      </x:c>
      <x:c r="X15" s="61" t="n">
        <x:f>IF(AND($E15&lt;=X$1+6,$F15&gt;=X$1),1,"")</x:f>
        <x:v>1</x:v>
      </x:c>
      <x:c r="Y15" s="61" t="str">
        <x:f>IF(AND($E15&lt;=Y$1+6,$F15&gt;=Y$1),1,"")</x:f>
      </x:c>
      <x:c r="Z15" s="61" t="str">
        <x:f>IF(AND($E15&lt;=Z$1+6,$F15&gt;=Z$1),1,"")</x:f>
      </x:c>
      <x:c r="AA15" s="37" t="str">
        <x:f>IF(AND($E15&lt;=AA$1+6,$F15&gt;=AA$1),1,"")</x:f>
      </x:c>
      <x:c r="AB15" s="37" t="str">
        <x:f>IF(AND($E15&lt;=AB$1+6,$F15&gt;=AB$1),1,"")</x:f>
      </x:c>
      <x:c r="AC15" s="37" t="str">
        <x:f>IF(AND($E15&lt;=AC$1+6,$F15&gt;=AC$1),1,"")</x:f>
      </x:c>
    </x:row>
    <x:row r="16">
      <x:c r="A16" s="58" t="n">
        <x:v>15</x:v>
      </x:c>
      <x:c r="B16" s="58" t="str">
        <x:v>Integración</x:v>
      </x:c>
      <x:c r="C16" s="58" t="str">
        <x:v>Comparador de cotizaciones y ferretería más conveniente</x:v>
      </x:c>
      <x:c r="D16" s="58" t="str">
        <x:v>Consuelo</x:v>
      </x:c>
      <x:c r="E16" s="59" t="n">
        <x:v>46161</x:v>
      </x:c>
      <x:c r="F16" s="59" t="n">
        <x:v>46186</x:v>
      </x:c>
      <x:c r="G16" s="58" t="n">
        <x:f>F16-E16+1</x:f>
        <x:v>26</x:v>
      </x:c>
      <x:c r="H16" s="60" t="n">
        <x:v>1</x:v>
      </x:c>
      <x:c r="I16" s="58" t="str">
        <x:v>Completado</x:v>
      </x:c>
      <x:c r="J16" s="58" t="str">
        <x:v>Comparador ProFerr / FerreMax Chile</x:v>
      </x:c>
      <x:c r="K16" s="58" t="str">
        <x:v>12,14</x:v>
      </x:c>
      <x:c r="L16" s="61" t="str">
        <x:f>IF(AND($E16&lt;=L$1+6,$F16&gt;=L$1),1,"")</x:f>
      </x:c>
      <x:c r="M16" s="61" t="str">
        <x:f>IF(AND($E16&lt;=M$1+6,$F16&gt;=M$1),1,"")</x:f>
      </x:c>
      <x:c r="N16" s="61" t="str">
        <x:f>IF(AND($E16&lt;=N$1+6,$F16&gt;=N$1),1,"")</x:f>
      </x:c>
      <x:c r="O16" s="61" t="str">
        <x:f>IF(AND($E16&lt;=O$1+6,$F16&gt;=O$1),1,"")</x:f>
      </x:c>
      <x:c r="P16" s="61" t="str">
        <x:f>IF(AND($E16&lt;=P$1+6,$F16&gt;=P$1),1,"")</x:f>
      </x:c>
      <x:c r="Q16" s="61" t="str">
        <x:f>IF(AND($E16&lt;=Q$1+6,$F16&gt;=Q$1),1,"")</x:f>
      </x:c>
      <x:c r="R16" s="61" t="str">
        <x:f>IF(AND($E16&lt;=R$1+6,$F16&gt;=R$1),1,"")</x:f>
      </x:c>
      <x:c r="S16" s="61" t="str">
        <x:f>IF(AND($E16&lt;=S$1+6,$F16&gt;=S$1),1,"")</x:f>
      </x:c>
      <x:c r="T16" s="61" t="str">
        <x:f>IF(AND($E16&lt;=T$1+6,$F16&gt;=T$1),1,"")</x:f>
      </x:c>
      <x:c r="U16" s="61" t="str">
        <x:f>IF(AND($E16&lt;=U$1+6,$F16&gt;=U$1),1,"")</x:f>
      </x:c>
      <x:c r="V16" s="61" t="n">
        <x:f>IF(AND($E16&lt;=V$1+6,$F16&gt;=V$1),1,"")</x:f>
        <x:v>1</x:v>
      </x:c>
      <x:c r="W16" s="61" t="n">
        <x:f>IF(AND($E16&lt;=W$1+6,$F16&gt;=W$1),1,"")</x:f>
        <x:v>1</x:v>
      </x:c>
      <x:c r="X16" s="61" t="n">
        <x:f>IF(AND($E16&lt;=X$1+6,$F16&gt;=X$1),1,"")</x:f>
        <x:v>1</x:v>
      </x:c>
      <x:c r="Y16" s="61" t="n">
        <x:f>IF(AND($E16&lt;=Y$1+6,$F16&gt;=Y$1),1,"")</x:f>
        <x:v>1</x:v>
      </x:c>
      <x:c r="Z16" s="61" t="str">
        <x:f>IF(AND($E16&lt;=Z$1+6,$F16&gt;=Z$1),1,"")</x:f>
      </x:c>
      <x:c r="AA16" s="37" t="str">
        <x:f>IF(AND($E16&lt;=AA$1+6,$F16&gt;=AA$1),1,"")</x:f>
      </x:c>
      <x:c r="AB16" s="37" t="str">
        <x:f>IF(AND($E16&lt;=AB$1+6,$F16&gt;=AB$1),1,"")</x:f>
      </x:c>
      <x:c r="AC16" s="37" t="str">
        <x:f>IF(AND($E16&lt;=AC$1+6,$F16&gt;=AC$1),1,"")</x:f>
      </x:c>
    </x:row>
    <x:row r="17">
      <x:c r="A17" s="58" t="n">
        <x:v>16</x:v>
      </x:c>
      <x:c r="B17" s="58" t="str">
        <x:v>Integración</x:v>
      </x:c>
      <x:c r="C17" s="58" t="str">
        <x:v>Frontends de ferreterías y carrito simulado</x:v>
      </x:c>
      <x:c r="D17" s="58" t="str">
        <x:v>Consuelo</x:v>
      </x:c>
      <x:c r="E17" s="59" t="n">
        <x:v>46168</x:v>
      </x:c>
      <x:c r="F17" s="59" t="n">
        <x:v>46186</x:v>
      </x:c>
      <x:c r="G17" s="58" t="n">
        <x:f>F17-E17+1</x:f>
        <x:v>19</x:v>
      </x:c>
      <x:c r="H17" s="60" t="n">
        <x:v>1</x:v>
      </x:c>
      <x:c r="I17" s="58" t="str">
        <x:v>Completado</x:v>
      </x:c>
      <x:c r="J17" s="58" t="str">
        <x:v>ProFerr y FerreMax Chile en Vercel</x:v>
      </x:c>
      <x:c r="K17" s="58" t="str">
        <x:v>15</x:v>
      </x:c>
      <x:c r="L17" s="61" t="str">
        <x:f>IF(AND($E17&lt;=L$1+6,$F17&gt;=L$1),1,"")</x:f>
      </x:c>
      <x:c r="M17" s="61" t="str">
        <x:f>IF(AND($E17&lt;=M$1+6,$F17&gt;=M$1),1,"")</x:f>
      </x:c>
      <x:c r="N17" s="61" t="str">
        <x:f>IF(AND($E17&lt;=N$1+6,$F17&gt;=N$1),1,"")</x:f>
      </x:c>
      <x:c r="O17" s="61" t="str">
        <x:f>IF(AND($E17&lt;=O$1+6,$F17&gt;=O$1),1,"")</x:f>
      </x:c>
      <x:c r="P17" s="61" t="str">
        <x:f>IF(AND($E17&lt;=P$1+6,$F17&gt;=P$1),1,"")</x:f>
      </x:c>
      <x:c r="Q17" s="61" t="str">
        <x:f>IF(AND($E17&lt;=Q$1+6,$F17&gt;=Q$1),1,"")</x:f>
      </x:c>
      <x:c r="R17" s="61" t="str">
        <x:f>IF(AND($E17&lt;=R$1+6,$F17&gt;=R$1),1,"")</x:f>
      </x:c>
      <x:c r="S17" s="61" t="str">
        <x:f>IF(AND($E17&lt;=S$1+6,$F17&gt;=S$1),1,"")</x:f>
      </x:c>
      <x:c r="T17" s="61" t="str">
        <x:f>IF(AND($E17&lt;=T$1+6,$F17&gt;=T$1),1,"")</x:f>
      </x:c>
      <x:c r="U17" s="61" t="str">
        <x:f>IF(AND($E17&lt;=U$1+6,$F17&gt;=U$1),1,"")</x:f>
      </x:c>
      <x:c r="V17" s="61" t="str">
        <x:f>IF(AND($E17&lt;=V$1+6,$F17&gt;=V$1),1,"")</x:f>
      </x:c>
      <x:c r="W17" s="61" t="n">
        <x:f>IF(AND($E17&lt;=W$1+6,$F17&gt;=W$1),1,"")</x:f>
        <x:v>1</x:v>
      </x:c>
      <x:c r="X17" s="61" t="n">
        <x:f>IF(AND($E17&lt;=X$1+6,$F17&gt;=X$1),1,"")</x:f>
        <x:v>1</x:v>
      </x:c>
      <x:c r="Y17" s="61" t="n">
        <x:f>IF(AND($E17&lt;=Y$1+6,$F17&gt;=Y$1),1,"")</x:f>
        <x:v>1</x:v>
      </x:c>
      <x:c r="Z17" s="61" t="str">
        <x:f>IF(AND($E17&lt;=Z$1+6,$F17&gt;=Z$1),1,"")</x:f>
      </x:c>
      <x:c r="AA17" s="37" t="str">
        <x:f>IF(AND($E17&lt;=AA$1+6,$F17&gt;=AA$1),1,"")</x:f>
      </x:c>
      <x:c r="AB17" s="37" t="str">
        <x:f>IF(AND($E17&lt;=AB$1+6,$F17&gt;=AB$1),1,"")</x:f>
      </x:c>
      <x:c r="AC17" s="37" t="str">
        <x:f>IF(AND($E17&lt;=AC$1+6,$F17&gt;=AC$1),1,"")</x:f>
      </x:c>
    </x:row>
    <x:row r="18">
      <x:c r="A18" s="58" t="n">
        <x:v>17</x:v>
      </x:c>
      <x:c r="B18" s="58" t="str">
        <x:v>Despliegue</x:v>
      </x:c>
      <x:c r="C18" s="58" t="str">
        <x:v>Despliegue cloud: Railway, Vercel y Supabase</x:v>
      </x:c>
      <x:c r="D18" s="58" t="str">
        <x:v>Consuelo</x:v>
      </x:c>
      <x:c r="E18" s="59" t="n">
        <x:v>46175</x:v>
      </x:c>
      <x:c r="F18" s="59" t="n">
        <x:v>46193</x:v>
      </x:c>
      <x:c r="G18" s="58" t="n">
        <x:f>F18-E18+1</x:f>
        <x:v>19</x:v>
      </x:c>
      <x:c r="H18" s="60" t="n">
        <x:v>1</x:v>
      </x:c>
      <x:c r="I18" s="58" t="str">
        <x:v>Completado</x:v>
      </x:c>
      <x:c r="J18" s="58" t="str">
        <x:v>Ambiente cloud validado</x:v>
      </x:c>
      <x:c r="K18" s="58" t="str">
        <x:v>14,15,16</x:v>
      </x:c>
      <x:c r="L18" s="61" t="str">
        <x:f>IF(AND($E18&lt;=L$1+6,$F18&gt;=L$1),1,"")</x:f>
      </x:c>
      <x:c r="M18" s="61" t="str">
        <x:f>IF(AND($E18&lt;=M$1+6,$F18&gt;=M$1),1,"")</x:f>
      </x:c>
      <x:c r="N18" s="61" t="str">
        <x:f>IF(AND($E18&lt;=N$1+6,$F18&gt;=N$1),1,"")</x:f>
      </x:c>
      <x:c r="O18" s="61" t="str">
        <x:f>IF(AND($E18&lt;=O$1+6,$F18&gt;=O$1),1,"")</x:f>
      </x:c>
      <x:c r="P18" s="61" t="str">
        <x:f>IF(AND($E18&lt;=P$1+6,$F18&gt;=P$1),1,"")</x:f>
      </x:c>
      <x:c r="Q18" s="61" t="str">
        <x:f>IF(AND($E18&lt;=Q$1+6,$F18&gt;=Q$1),1,"")</x:f>
      </x:c>
      <x:c r="R18" s="61" t="str">
        <x:f>IF(AND($E18&lt;=R$1+6,$F18&gt;=R$1),1,"")</x:f>
      </x:c>
      <x:c r="S18" s="61" t="str">
        <x:f>IF(AND($E18&lt;=S$1+6,$F18&gt;=S$1),1,"")</x:f>
      </x:c>
      <x:c r="T18" s="61" t="str">
        <x:f>IF(AND($E18&lt;=T$1+6,$F18&gt;=T$1),1,"")</x:f>
      </x:c>
      <x:c r="U18" s="61" t="str">
        <x:f>IF(AND($E18&lt;=U$1+6,$F18&gt;=U$1),1,"")</x:f>
      </x:c>
      <x:c r="V18" s="61" t="str">
        <x:f>IF(AND($E18&lt;=V$1+6,$F18&gt;=V$1),1,"")</x:f>
      </x:c>
      <x:c r="W18" s="61" t="str">
        <x:f>IF(AND($E18&lt;=W$1+6,$F18&gt;=W$1),1,"")</x:f>
      </x:c>
      <x:c r="X18" s="61" t="n">
        <x:f>IF(AND($E18&lt;=X$1+6,$F18&gt;=X$1),1,"")</x:f>
        <x:v>1</x:v>
      </x:c>
      <x:c r="Y18" s="61" t="n">
        <x:f>IF(AND($E18&lt;=Y$1+6,$F18&gt;=Y$1),1,"")</x:f>
        <x:v>1</x:v>
      </x:c>
      <x:c r="Z18" s="61" t="n">
        <x:f>IF(AND($E18&lt;=Z$1+6,$F18&gt;=Z$1),1,"")</x:f>
        <x:v>1</x:v>
      </x:c>
      <x:c r="AA18" s="37" t="str">
        <x:f>IF(AND($E18&lt;=AA$1+6,$F18&gt;=AA$1),1,"")</x:f>
      </x:c>
      <x:c r="AB18" s="37" t="str">
        <x:f>IF(AND($E18&lt;=AB$1+6,$F18&gt;=AB$1),1,"")</x:f>
      </x:c>
      <x:c r="AC18" s="37" t="str">
        <x:f>IF(AND($E18&lt;=AC$1+6,$F18&gt;=AC$1),1,"")</x:f>
      </x:c>
    </x:row>
    <x:row r="19">
      <x:c r="A19" s="58" t="n">
        <x:v>18</x:v>
      </x:c>
      <x:c r="B19" s="58" t="str">
        <x:v>Administración</x:v>
      </x:c>
      <x:c r="C19" s="58" t="str">
        <x:v>Módulo administrador de ferreterías activas/inactivas</x:v>
      </x:c>
      <x:c r="D19" s="58" t="str">
        <x:v>Nelson</x:v>
      </x:c>
      <x:c r="E19" s="59" t="n">
        <x:v>46183</x:v>
      </x:c>
      <x:c r="F19" s="59" t="n">
        <x:v>46198</x:v>
      </x:c>
      <x:c r="G19" s="58" t="n">
        <x:f>F19-E19+1</x:f>
        <x:v>16</x:v>
      </x:c>
      <x:c r="H19" s="60" t="n">
        <x:v>1</x:v>
      </x:c>
      <x:c r="I19" s="58" t="str">
        <x:v>Completado</x:v>
      </x:c>
      <x:c r="J19" s="58" t="str">
        <x:v>Panel admin y endpoints admin</x:v>
      </x:c>
      <x:c r="K19" s="58" t="str">
        <x:v>12,17</x:v>
      </x:c>
      <x:c r="L19" s="61" t="str">
        <x:f>IF(AND($E19&lt;=L$1+6,$F19&gt;=L$1),1,"")</x:f>
      </x:c>
      <x:c r="M19" s="61" t="str">
        <x:f>IF(AND($E19&lt;=M$1+6,$F19&gt;=M$1),1,"")</x:f>
      </x:c>
      <x:c r="N19" s="61" t="str">
        <x:f>IF(AND($E19&lt;=N$1+6,$F19&gt;=N$1),1,"")</x:f>
      </x:c>
      <x:c r="O19" s="61" t="str">
        <x:f>IF(AND($E19&lt;=O$1+6,$F19&gt;=O$1),1,"")</x:f>
      </x:c>
      <x:c r="P19" s="61" t="str">
        <x:f>IF(AND($E19&lt;=P$1+6,$F19&gt;=P$1),1,"")</x:f>
      </x:c>
      <x:c r="Q19" s="61" t="str">
        <x:f>IF(AND($E19&lt;=Q$1+6,$F19&gt;=Q$1),1,"")</x:f>
      </x:c>
      <x:c r="R19" s="61" t="str">
        <x:f>IF(AND($E19&lt;=R$1+6,$F19&gt;=R$1),1,"")</x:f>
      </x:c>
      <x:c r="S19" s="61" t="str">
        <x:f>IF(AND($E19&lt;=S$1+6,$F19&gt;=S$1),1,"")</x:f>
      </x:c>
      <x:c r="T19" s="61" t="str">
        <x:f>IF(AND($E19&lt;=T$1+6,$F19&gt;=T$1),1,"")</x:f>
      </x:c>
      <x:c r="U19" s="61" t="str">
        <x:f>IF(AND($E19&lt;=U$1+6,$F19&gt;=U$1),1,"")</x:f>
      </x:c>
      <x:c r="V19" s="61" t="str">
        <x:f>IF(AND($E19&lt;=V$1+6,$F19&gt;=V$1),1,"")</x:f>
      </x:c>
      <x:c r="W19" s="61" t="str">
        <x:f>IF(AND($E19&lt;=W$1+6,$F19&gt;=W$1),1,"")</x:f>
      </x:c>
      <x:c r="X19" s="61" t="str">
        <x:f>IF(AND($E19&lt;=X$1+6,$F19&gt;=X$1),1,"")</x:f>
      </x:c>
      <x:c r="Y19" s="61" t="n">
        <x:f>IF(AND($E19&lt;=Y$1+6,$F19&gt;=Y$1),1,"")</x:f>
        <x:v>1</x:v>
      </x:c>
      <x:c r="Z19" s="61" t="n">
        <x:f>IF(AND($E19&lt;=Z$1+6,$F19&gt;=Z$1),1,"")</x:f>
        <x:v>1</x:v>
      </x:c>
      <x:c r="AA19" s="37" t="n">
        <x:f>IF(AND($E19&lt;=AA$1+6,$F19&gt;=AA$1),1,"")</x:f>
        <x:v>1</x:v>
      </x:c>
      <x:c r="AB19" s="37" t="str">
        <x:f>IF(AND($E19&lt;=AB$1+6,$F19&gt;=AB$1),1,"")</x:f>
      </x:c>
      <x:c r="AC19" s="37" t="str">
        <x:f>IF(AND($E19&lt;=AC$1+6,$F19&gt;=AC$1),1,"")</x:f>
      </x:c>
    </x:row>
    <x:row r="20">
      <x:c r="A20" s="58" t="n">
        <x:v>19</x:v>
      </x:c>
      <x:c r="B20" s="58" t="str">
        <x:v>Pruebas</x:v>
      </x:c>
      <x:c r="C20" s="58" t="str">
        <x:v>Plan de pruebas detallado y datos de prueba</x:v>
      </x:c>
      <x:c r="D20" s="58" t="str">
        <x:v>Equipo</x:v>
      </x:c>
      <x:c r="E20" s="59" t="n">
        <x:v>46185</x:v>
      </x:c>
      <x:c r="F20" s="59" t="n">
        <x:v>46191</x:v>
      </x:c>
      <x:c r="G20" s="58" t="n">
        <x:f>F20-E20+1</x:f>
        <x:v>7</x:v>
      </x:c>
      <x:c r="H20" s="60" t="n">
        <x:v>1</x:v>
      </x:c>
      <x:c r="I20" s="58" t="str">
        <x:v>Completado</x:v>
      </x:c>
      <x:c r="J20" s="58" t="str">
        <x:v>Plan de pruebas</x:v>
      </x:c>
      <x:c r="K20" s="58" t="str">
        <x:v>17</x:v>
      </x:c>
      <x:c r="L20" s="61" t="str">
        <x:f>IF(AND($E20&lt;=L$1+6,$F20&gt;=L$1),1,"")</x:f>
      </x:c>
      <x:c r="M20" s="61" t="str">
        <x:f>IF(AND($E20&lt;=M$1+6,$F20&gt;=M$1),1,"")</x:f>
      </x:c>
      <x:c r="N20" s="61" t="str">
        <x:f>IF(AND($E20&lt;=N$1+6,$F20&gt;=N$1),1,"")</x:f>
      </x:c>
      <x:c r="O20" s="61" t="str">
        <x:f>IF(AND($E20&lt;=O$1+6,$F20&gt;=O$1),1,"")</x:f>
      </x:c>
      <x:c r="P20" s="61" t="str">
        <x:f>IF(AND($E20&lt;=P$1+6,$F20&gt;=P$1),1,"")</x:f>
      </x:c>
      <x:c r="Q20" s="61" t="str">
        <x:f>IF(AND($E20&lt;=Q$1+6,$F20&gt;=Q$1),1,"")</x:f>
      </x:c>
      <x:c r="R20" s="61" t="str">
        <x:f>IF(AND($E20&lt;=R$1+6,$F20&gt;=R$1),1,"")</x:f>
      </x:c>
      <x:c r="S20" s="61" t="str">
        <x:f>IF(AND($E20&lt;=S$1+6,$F20&gt;=S$1),1,"")</x:f>
      </x:c>
      <x:c r="T20" s="61" t="str">
        <x:f>IF(AND($E20&lt;=T$1+6,$F20&gt;=T$1),1,"")</x:f>
      </x:c>
      <x:c r="U20" s="61" t="str">
        <x:f>IF(AND($E20&lt;=U$1+6,$F20&gt;=U$1),1,"")</x:f>
      </x:c>
      <x:c r="V20" s="61" t="str">
        <x:f>IF(AND($E20&lt;=V$1+6,$F20&gt;=V$1),1,"")</x:f>
      </x:c>
      <x:c r="W20" s="61" t="str">
        <x:f>IF(AND($E20&lt;=W$1+6,$F20&gt;=W$1),1,"")</x:f>
      </x:c>
      <x:c r="X20" s="61" t="str">
        <x:f>IF(AND($E20&lt;=X$1+6,$F20&gt;=X$1),1,"")</x:f>
      </x:c>
      <x:c r="Y20" s="61" t="n">
        <x:f>IF(AND($E20&lt;=Y$1+6,$F20&gt;=Y$1),1,"")</x:f>
        <x:v>1</x:v>
      </x:c>
      <x:c r="Z20" s="61" t="n">
        <x:f>IF(AND($E20&lt;=Z$1+6,$F20&gt;=Z$1),1,"")</x:f>
        <x:v>1</x:v>
      </x:c>
      <x:c r="AA20" s="37" t="str">
        <x:f>IF(AND($E20&lt;=AA$1+6,$F20&gt;=AA$1),1,"")</x:f>
      </x:c>
      <x:c r="AB20" s="37" t="str">
        <x:f>IF(AND($E20&lt;=AB$1+6,$F20&gt;=AB$1),1,"")</x:f>
      </x:c>
      <x:c r="AC20" s="37" t="str">
        <x:f>IF(AND($E20&lt;=AC$1+6,$F20&gt;=AC$1),1,"")</x:f>
      </x:c>
    </x:row>
    <x:row r="21">
      <x:c r="A21" s="58" t="n">
        <x:v>20</x:v>
      </x:c>
      <x:c r="B21" s="58" t="str">
        <x:v>Pruebas</x:v>
      </x:c>
      <x:c r="C21" s="58" t="str">
        <x:v>Ejecución de pruebas funcionales, integración, seguridad y BD</x:v>
      </x:c>
      <x:c r="D21" s="58" t="str">
        <x:v>Equipo</x:v>
      </x:c>
      <x:c r="E21" s="59" t="n">
        <x:v>46188</x:v>
      </x:c>
      <x:c r="F21" s="59" t="n">
        <x:v>46198</x:v>
      </x:c>
      <x:c r="G21" s="58" t="n">
        <x:f>F21-E21+1</x:f>
        <x:v>11</x:v>
      </x:c>
      <x:c r="H21" s="60" t="n">
        <x:v>1</x:v>
      </x:c>
      <x:c r="I21" s="58" t="str">
        <x:v>Completado</x:v>
      </x:c>
      <x:c r="J21" s="58" t="str">
        <x:v>Casos de prueba ejecutados</x:v>
      </x:c>
      <x:c r="K21" s="58" t="str">
        <x:v>19</x:v>
      </x:c>
      <x:c r="L21" s="61" t="str">
        <x:f>IF(AND($E21&lt;=L$1+6,$F21&gt;=L$1),1,"")</x:f>
      </x:c>
      <x:c r="M21" s="61" t="str">
        <x:f>IF(AND($E21&lt;=M$1+6,$F21&gt;=M$1),1,"")</x:f>
      </x:c>
      <x:c r="N21" s="61" t="str">
        <x:f>IF(AND($E21&lt;=N$1+6,$F21&gt;=N$1),1,"")</x:f>
      </x:c>
      <x:c r="O21" s="61" t="str">
        <x:f>IF(AND($E21&lt;=O$1+6,$F21&gt;=O$1),1,"")</x:f>
      </x:c>
      <x:c r="P21" s="61" t="str">
        <x:f>IF(AND($E21&lt;=P$1+6,$F21&gt;=P$1),1,"")</x:f>
      </x:c>
      <x:c r="Q21" s="61" t="str">
        <x:f>IF(AND($E21&lt;=Q$1+6,$F21&gt;=Q$1),1,"")</x:f>
      </x:c>
      <x:c r="R21" s="61" t="str">
        <x:f>IF(AND($E21&lt;=R$1+6,$F21&gt;=R$1),1,"")</x:f>
      </x:c>
      <x:c r="S21" s="61" t="str">
        <x:f>IF(AND($E21&lt;=S$1+6,$F21&gt;=S$1),1,"")</x:f>
      </x:c>
      <x:c r="T21" s="61" t="str">
        <x:f>IF(AND($E21&lt;=T$1+6,$F21&gt;=T$1),1,"")</x:f>
      </x:c>
      <x:c r="U21" s="61" t="str">
        <x:f>IF(AND($E21&lt;=U$1+6,$F21&gt;=U$1),1,"")</x:f>
      </x:c>
      <x:c r="V21" s="61" t="str">
        <x:f>IF(AND($E21&lt;=V$1+6,$F21&gt;=V$1),1,"")</x:f>
      </x:c>
      <x:c r="W21" s="61" t="str">
        <x:f>IF(AND($E21&lt;=W$1+6,$F21&gt;=W$1),1,"")</x:f>
      </x:c>
      <x:c r="X21" s="61" t="str">
        <x:f>IF(AND($E21&lt;=X$1+6,$F21&gt;=X$1),1,"")</x:f>
      </x:c>
      <x:c r="Y21" s="61" t="str">
        <x:f>IF(AND($E21&lt;=Y$1+6,$F21&gt;=Y$1),1,"")</x:f>
      </x:c>
      <x:c r="Z21" s="61" t="n">
        <x:f>IF(AND($E21&lt;=Z$1+6,$F21&gt;=Z$1),1,"")</x:f>
        <x:v>1</x:v>
      </x:c>
      <x:c r="AA21" s="37" t="n">
        <x:f>IF(AND($E21&lt;=AA$1+6,$F21&gt;=AA$1),1,"")</x:f>
        <x:v>1</x:v>
      </x:c>
      <x:c r="AB21" s="37" t="str">
        <x:f>IF(AND($E21&lt;=AB$1+6,$F21&gt;=AB$1),1,"")</x:f>
      </x:c>
      <x:c r="AC21" s="37" t="str">
        <x:f>IF(AND($E21&lt;=AC$1+6,$F21&gt;=AC$1),1,"")</x:f>
      </x:c>
    </x:row>
    <x:row r="22">
      <x:c r="A22" s="58" t="n">
        <x:v>21</x:v>
      </x:c>
      <x:c r="B22" s="58" t="str">
        <x:v>Mejoras</x:v>
      </x:c>
      <x:c r="C22" s="58" t="str">
        <x:v>Correcciones según pruebas: carrito, cantidades, JWT, mapeos y admin</x:v>
      </x:c>
      <x:c r="D22" s="58" t="str">
        <x:v>Equipo</x:v>
      </x:c>
      <x:c r="E22" s="59" t="n">
        <x:v>46189</x:v>
      </x:c>
      <x:c r="F22" s="59" t="n">
        <x:v>46199</x:v>
      </x:c>
      <x:c r="G22" s="58" t="n">
        <x:f>F22-E22+1</x:f>
        <x:v>11</x:v>
      </x:c>
      <x:c r="H22" s="60" t="n">
        <x:v>1</x:v>
      </x:c>
      <x:c r="I22" s="58" t="str">
        <x:v>Completado</x:v>
      </x:c>
      <x:c r="J22" s="58" t="str">
        <x:v>Mejoras aplicadas y validadas</x:v>
      </x:c>
      <x:c r="K22" s="58" t="str">
        <x:v>20</x:v>
      </x:c>
      <x:c r="L22" s="61" t="str">
        <x:f>IF(AND($E22&lt;=L$1+6,$F22&gt;=L$1),1,"")</x:f>
      </x:c>
      <x:c r="M22" s="61" t="str">
        <x:f>IF(AND($E22&lt;=M$1+6,$F22&gt;=M$1),1,"")</x:f>
      </x:c>
      <x:c r="N22" s="61" t="str">
        <x:f>IF(AND($E22&lt;=N$1+6,$F22&gt;=N$1),1,"")</x:f>
      </x:c>
      <x:c r="O22" s="61" t="str">
        <x:f>IF(AND($E22&lt;=O$1+6,$F22&gt;=O$1),1,"")</x:f>
      </x:c>
      <x:c r="P22" s="61" t="str">
        <x:f>IF(AND($E22&lt;=P$1+6,$F22&gt;=P$1),1,"")</x:f>
      </x:c>
      <x:c r="Q22" s="61" t="str">
        <x:f>IF(AND($E22&lt;=Q$1+6,$F22&gt;=Q$1),1,"")</x:f>
      </x:c>
      <x:c r="R22" s="61" t="str">
        <x:f>IF(AND($E22&lt;=R$1+6,$F22&gt;=R$1),1,"")</x:f>
      </x:c>
      <x:c r="S22" s="61" t="str">
        <x:f>IF(AND($E22&lt;=S$1+6,$F22&gt;=S$1),1,"")</x:f>
      </x:c>
      <x:c r="T22" s="61" t="str">
        <x:f>IF(AND($E22&lt;=T$1+6,$F22&gt;=T$1),1,"")</x:f>
      </x:c>
      <x:c r="U22" s="61" t="str">
        <x:f>IF(AND($E22&lt;=U$1+6,$F22&gt;=U$1),1,"")</x:f>
      </x:c>
      <x:c r="V22" s="61" t="str">
        <x:f>IF(AND($E22&lt;=V$1+6,$F22&gt;=V$1),1,"")</x:f>
      </x:c>
      <x:c r="W22" s="61" t="str">
        <x:f>IF(AND($E22&lt;=W$1+6,$F22&gt;=W$1),1,"")</x:f>
      </x:c>
      <x:c r="X22" s="61" t="str">
        <x:f>IF(AND($E22&lt;=X$1+6,$F22&gt;=X$1),1,"")</x:f>
      </x:c>
      <x:c r="Y22" s="61" t="str">
        <x:f>IF(AND($E22&lt;=Y$1+6,$F22&gt;=Y$1),1,"")</x:f>
      </x:c>
      <x:c r="Z22" s="61" t="n">
        <x:f>IF(AND($E22&lt;=Z$1+6,$F22&gt;=Z$1),1,"")</x:f>
        <x:v>1</x:v>
      </x:c>
      <x:c r="AA22" s="37" t="n">
        <x:f>IF(AND($E22&lt;=AA$1+6,$F22&gt;=AA$1),1,"")</x:f>
        <x:v>1</x:v>
      </x:c>
      <x:c r="AB22" s="37" t="str">
        <x:f>IF(AND($E22&lt;=AB$1+6,$F22&gt;=AB$1),1,"")</x:f>
      </x:c>
      <x:c r="AC22" s="37" t="str">
        <x:f>IF(AND($E22&lt;=AC$1+6,$F22&gt;=AC$1),1,"")</x:f>
      </x:c>
    </x:row>
    <x:row r="23">
      <x:c r="A23" s="58" t="n">
        <x:v>22</x:v>
      </x:c>
      <x:c r="B23" s="58" t="str">
        <x:v>Documentación</x:v>
      </x:c>
      <x:c r="C23" s="58" t="str">
        <x:v>Informe final, evidencias, anexos y control de versiones</x:v>
      </x:c>
      <x:c r="D23" s="58" t="str">
        <x:v>Equipo</x:v>
      </x:c>
      <x:c r="E23" s="59" t="n">
        <x:v>46191</x:v>
      </x:c>
      <x:c r="F23" s="59" t="n">
        <x:v>46198</x:v>
      </x:c>
      <x:c r="G23" s="58" t="n">
        <x:f>F23-E23+1</x:f>
        <x:v>8</x:v>
      </x:c>
      <x:c r="H23" s="60" t="n">
        <x:v>1</x:v>
      </x:c>
      <x:c r="I23" s="58" t="str">
        <x:v>Completado</x:v>
      </x:c>
      <x:c r="J23" s="58" t="str">
        <x:v>Informe final y evidencias</x:v>
      </x:c>
      <x:c r="K23" s="58" t="str">
        <x:v>21</x:v>
      </x:c>
      <x:c r="L23" s="61" t="str">
        <x:f>IF(AND($E23&lt;=L$1+6,$F23&gt;=L$1),1,"")</x:f>
      </x:c>
      <x:c r="M23" s="61" t="str">
        <x:f>IF(AND($E23&lt;=M$1+6,$F23&gt;=M$1),1,"")</x:f>
      </x:c>
      <x:c r="N23" s="61" t="str">
        <x:f>IF(AND($E23&lt;=N$1+6,$F23&gt;=N$1),1,"")</x:f>
      </x:c>
      <x:c r="O23" s="61" t="str">
        <x:f>IF(AND($E23&lt;=O$1+6,$F23&gt;=O$1),1,"")</x:f>
      </x:c>
      <x:c r="P23" s="61" t="str">
        <x:f>IF(AND($E23&lt;=P$1+6,$F23&gt;=P$1),1,"")</x:f>
      </x:c>
      <x:c r="Q23" s="61" t="str">
        <x:f>IF(AND($E23&lt;=Q$1+6,$F23&gt;=Q$1),1,"")</x:f>
      </x:c>
      <x:c r="R23" s="61" t="str">
        <x:f>IF(AND($E23&lt;=R$1+6,$F23&gt;=R$1),1,"")</x:f>
      </x:c>
      <x:c r="S23" s="61" t="str">
        <x:f>IF(AND($E23&lt;=S$1+6,$F23&gt;=S$1),1,"")</x:f>
      </x:c>
      <x:c r="T23" s="61" t="str">
        <x:f>IF(AND($E23&lt;=T$1+6,$F23&gt;=T$1),1,"")</x:f>
      </x:c>
      <x:c r="U23" s="61" t="str">
        <x:f>IF(AND($E23&lt;=U$1+6,$F23&gt;=U$1),1,"")</x:f>
      </x:c>
      <x:c r="V23" s="61" t="str">
        <x:f>IF(AND($E23&lt;=V$1+6,$F23&gt;=V$1),1,"")</x:f>
      </x:c>
      <x:c r="W23" s="61" t="str">
        <x:f>IF(AND($E23&lt;=W$1+6,$F23&gt;=W$1),1,"")</x:f>
      </x:c>
      <x:c r="X23" s="61" t="str">
        <x:f>IF(AND($E23&lt;=X$1+6,$F23&gt;=X$1),1,"")</x:f>
      </x:c>
      <x:c r="Y23" s="61" t="str">
        <x:f>IF(AND($E23&lt;=Y$1+6,$F23&gt;=Y$1),1,"")</x:f>
      </x:c>
      <x:c r="Z23" s="61" t="n">
        <x:f>IF(AND($E23&lt;=Z$1+6,$F23&gt;=Z$1),1,"")</x:f>
        <x:v>1</x:v>
      </x:c>
      <x:c r="AA23" s="37" t="n">
        <x:f>IF(AND($E23&lt;=AA$1+6,$F23&gt;=AA$1),1,"")</x:f>
        <x:v>1</x:v>
      </x:c>
      <x:c r="AB23" s="37" t="str">
        <x:f>IF(AND($E23&lt;=AB$1+6,$F23&gt;=AB$1),1,"")</x:f>
      </x:c>
      <x:c r="AC23" s="37" t="str">
        <x:f>IF(AND($E23&lt;=AC$1+6,$F23&gt;=AC$1),1,"")</x:f>
      </x:c>
    </x:row>
    <x:row r="24">
      <x:c r="A24" s="58" t="n">
        <x:v>23</x:v>
      </x:c>
      <x:c r="B24" s="58" t="str">
        <x:v>Documentación</x:v>
      </x:c>
      <x:c r="C24" s="58" t="str">
        <x:v>Ordenar carpeta Documentacion en GitHub</x:v>
      </x:c>
      <x:c r="D24" s="58" t="str">
        <x:v>Consuelo</x:v>
      </x:c>
      <x:c r="E24" s="59" t="n">
        <x:v>46198</x:v>
      </x:c>
      <x:c r="F24" s="59" t="n">
        <x:v>46199</x:v>
      </x:c>
      <x:c r="G24" s="58" t="n">
        <x:f>F24-E24+1</x:f>
        <x:v>2</x:v>
      </x:c>
      <x:c r="H24" s="60" t="n">
        <x:v>0.9</x:v>
      </x:c>
      <x:c r="I24" s="58" t="str">
        <x:v>En revisión</x:v>
      </x:c>
      <x:c r="J24" s="58" t="str">
        <x:v>Documentación subida al repositorio</x:v>
      </x:c>
      <x:c r="K24" s="58" t="str">
        <x:v>22</x:v>
      </x:c>
      <x:c r="L24" s="61" t="str">
        <x:f>IF(AND($E24&lt;=L$1+6,$F24&gt;=L$1),1,"")</x:f>
      </x:c>
      <x:c r="M24" s="61" t="str">
        <x:f>IF(AND($E24&lt;=M$1+6,$F24&gt;=M$1),1,"")</x:f>
      </x:c>
      <x:c r="N24" s="61" t="str">
        <x:f>IF(AND($E24&lt;=N$1+6,$F24&gt;=N$1),1,"")</x:f>
      </x:c>
      <x:c r="O24" s="61" t="str">
        <x:f>IF(AND($E24&lt;=O$1+6,$F24&gt;=O$1),1,"")</x:f>
      </x:c>
      <x:c r="P24" s="61" t="str">
        <x:f>IF(AND($E24&lt;=P$1+6,$F24&gt;=P$1),1,"")</x:f>
      </x:c>
      <x:c r="Q24" s="61" t="str">
        <x:f>IF(AND($E24&lt;=Q$1+6,$F24&gt;=Q$1),1,"")</x:f>
      </x:c>
      <x:c r="R24" s="61" t="str">
        <x:f>IF(AND($E24&lt;=R$1+6,$F24&gt;=R$1),1,"")</x:f>
      </x:c>
      <x:c r="S24" s="61" t="str">
        <x:f>IF(AND($E24&lt;=S$1+6,$F24&gt;=S$1),1,"")</x:f>
      </x:c>
      <x:c r="T24" s="61" t="str">
        <x:f>IF(AND($E24&lt;=T$1+6,$F24&gt;=T$1),1,"")</x:f>
      </x:c>
      <x:c r="U24" s="61" t="str">
        <x:f>IF(AND($E24&lt;=U$1+6,$F24&gt;=U$1),1,"")</x:f>
      </x:c>
      <x:c r="V24" s="61" t="str">
        <x:f>IF(AND($E24&lt;=V$1+6,$F24&gt;=V$1),1,"")</x:f>
      </x:c>
      <x:c r="W24" s="61" t="str">
        <x:f>IF(AND($E24&lt;=W$1+6,$F24&gt;=W$1),1,"")</x:f>
      </x:c>
      <x:c r="X24" s="61" t="str">
        <x:f>IF(AND($E24&lt;=X$1+6,$F24&gt;=X$1),1,"")</x:f>
      </x:c>
      <x:c r="Y24" s="61" t="str">
        <x:f>IF(AND($E24&lt;=Y$1+6,$F24&gt;=Y$1),1,"")</x:f>
      </x:c>
      <x:c r="Z24" s="61" t="str">
        <x:f>IF(AND($E24&lt;=Z$1+6,$F24&gt;=Z$1),1,"")</x:f>
      </x:c>
      <x:c r="AA24" s="37" t="n">
        <x:f>IF(AND($E24&lt;=AA$1+6,$F24&gt;=AA$1),1,"")</x:f>
        <x:v>1</x:v>
      </x:c>
      <x:c r="AB24" s="37" t="str">
        <x:f>IF(AND($E24&lt;=AB$1+6,$F24&gt;=AB$1),1,"")</x:f>
      </x:c>
      <x:c r="AC24" s="37" t="str">
        <x:f>IF(AND($E24&lt;=AC$1+6,$F24&gt;=AC$1),1,"")</x:f>
      </x:c>
    </x:row>
    <x:row r="25">
      <x:c r="A25" s="58" t="n">
        <x:v>24</x:v>
      </x:c>
      <x:c r="B25" s="58" t="str">
        <x:v>Presentación</x:v>
      </x:c>
      <x:c r="C25" s="58" t="str">
        <x:v>Preparación de PPT final y guion técnico</x:v>
      </x:c>
      <x:c r="D25" s="58" t="str">
        <x:v>Equipo</x:v>
      </x:c>
      <x:c r="E25" s="59" t="n">
        <x:v>46197</x:v>
      </x:c>
      <x:c r="F25" s="59" t="n">
        <x:v>46205</x:v>
      </x:c>
      <x:c r="G25" s="58" t="n">
        <x:f>F25-E25+1</x:f>
        <x:v>9</x:v>
      </x:c>
      <x:c r="H25" s="60" t="n">
        <x:v>0.7</x:v>
      </x:c>
      <x:c r="I25" s="58" t="str">
        <x:v>En progreso</x:v>
      </x:c>
      <x:c r="J25" s="58" t="str">
        <x:v>Presentación final y guion</x:v>
      </x:c>
      <x:c r="K25" s="58" t="str">
        <x:v>22</x:v>
      </x:c>
      <x:c r="L25" s="61" t="str">
        <x:f>IF(AND($E25&lt;=L$1+6,$F25&gt;=L$1),1,"")</x:f>
      </x:c>
      <x:c r="M25" s="61" t="str">
        <x:f>IF(AND($E25&lt;=M$1+6,$F25&gt;=M$1),1,"")</x:f>
      </x:c>
      <x:c r="N25" s="61" t="str">
        <x:f>IF(AND($E25&lt;=N$1+6,$F25&gt;=N$1),1,"")</x:f>
      </x:c>
      <x:c r="O25" s="61" t="str">
        <x:f>IF(AND($E25&lt;=O$1+6,$F25&gt;=O$1),1,"")</x:f>
      </x:c>
      <x:c r="P25" s="61" t="str">
        <x:f>IF(AND($E25&lt;=P$1+6,$F25&gt;=P$1),1,"")</x:f>
      </x:c>
      <x:c r="Q25" s="61" t="str">
        <x:f>IF(AND($E25&lt;=Q$1+6,$F25&gt;=Q$1),1,"")</x:f>
      </x:c>
      <x:c r="R25" s="61" t="str">
        <x:f>IF(AND($E25&lt;=R$1+6,$F25&gt;=R$1),1,"")</x:f>
      </x:c>
      <x:c r="S25" s="61" t="str">
        <x:f>IF(AND($E25&lt;=S$1+6,$F25&gt;=S$1),1,"")</x:f>
      </x:c>
      <x:c r="T25" s="61" t="str">
        <x:f>IF(AND($E25&lt;=T$1+6,$F25&gt;=T$1),1,"")</x:f>
      </x:c>
      <x:c r="U25" s="61" t="str">
        <x:f>IF(AND($E25&lt;=U$1+6,$F25&gt;=U$1),1,"")</x:f>
      </x:c>
      <x:c r="V25" s="61" t="str">
        <x:f>IF(AND($E25&lt;=V$1+6,$F25&gt;=V$1),1,"")</x:f>
      </x:c>
      <x:c r="W25" s="61" t="str">
        <x:f>IF(AND($E25&lt;=W$1+6,$F25&gt;=W$1),1,"")</x:f>
      </x:c>
      <x:c r="X25" s="61" t="str">
        <x:f>IF(AND($E25&lt;=X$1+6,$F25&gt;=X$1),1,"")</x:f>
      </x:c>
      <x:c r="Y25" s="61" t="str">
        <x:f>IF(AND($E25&lt;=Y$1+6,$F25&gt;=Y$1),1,"")</x:f>
      </x:c>
      <x:c r="Z25" s="61" t="str">
        <x:f>IF(AND($E25&lt;=Z$1+6,$F25&gt;=Z$1),1,"")</x:f>
      </x:c>
      <x:c r="AA25" s="37" t="n">
        <x:f>IF(AND($E25&lt;=AA$1+6,$F25&gt;=AA$1),1,"")</x:f>
        <x:v>1</x:v>
      </x:c>
      <x:c r="AB25" s="37" t="n">
        <x:f>IF(AND($E25&lt;=AB$1+6,$F25&gt;=AB$1),1,"")</x:f>
        <x:v>1</x:v>
      </x:c>
      <x:c r="AC25" s="37" t="str">
        <x:f>IF(AND($E25&lt;=AC$1+6,$F25&gt;=AC$1),1,"")</x:f>
      </x:c>
    </x:row>
    <x:row r="26">
      <x:c r="A26" s="58" t="n">
        <x:v>25</x:v>
      </x:c>
      <x:c r="B26" s="58" t="str">
        <x:v>Cierre</x:v>
      </x:c>
      <x:c r="C26" s="58" t="str">
        <x:v>Ensayo final y defensa del proyecto</x:v>
      </x:c>
      <x:c r="D26" s="58" t="str">
        <x:v>Equipo</x:v>
      </x:c>
      <x:c r="E26" s="59" t="n">
        <x:v>46205</x:v>
      </x:c>
      <x:c r="F26" s="59" t="n">
        <x:v>46206</x:v>
      </x:c>
      <x:c r="G26" s="58" t="n">
        <x:f>F26-E26+1</x:f>
        <x:v>2</x:v>
      </x:c>
      <x:c r="H26" s="60" t="n">
        <x:v>0</x:v>
      </x:c>
      <x:c r="I26" s="58" t="str">
        <x:v>Pendiente</x:v>
      </x:c>
      <x:c r="J26" s="58" t="str">
        <x:v>Exposición final</x:v>
      </x:c>
      <x:c r="K26" s="58" t="str">
        <x:v>24</x:v>
      </x:c>
      <x:c r="L26" s="61" t="str">
        <x:f>IF(AND($E26&lt;=L$1+6,$F26&gt;=L$1),1,"")</x:f>
      </x:c>
      <x:c r="M26" s="61" t="str">
        <x:f>IF(AND($E26&lt;=M$1+6,$F26&gt;=M$1),1,"")</x:f>
      </x:c>
      <x:c r="N26" s="61" t="str">
        <x:f>IF(AND($E26&lt;=N$1+6,$F26&gt;=N$1),1,"")</x:f>
      </x:c>
      <x:c r="O26" s="61" t="str">
        <x:f>IF(AND($E26&lt;=O$1+6,$F26&gt;=O$1),1,"")</x:f>
      </x:c>
      <x:c r="P26" s="61" t="str">
        <x:f>IF(AND($E26&lt;=P$1+6,$F26&gt;=P$1),1,"")</x:f>
      </x:c>
      <x:c r="Q26" s="61" t="str">
        <x:f>IF(AND($E26&lt;=Q$1+6,$F26&gt;=Q$1),1,"")</x:f>
      </x:c>
      <x:c r="R26" s="61" t="str">
        <x:f>IF(AND($E26&lt;=R$1+6,$F26&gt;=R$1),1,"")</x:f>
      </x:c>
      <x:c r="S26" s="61" t="str">
        <x:f>IF(AND($E26&lt;=S$1+6,$F26&gt;=S$1),1,"")</x:f>
      </x:c>
      <x:c r="T26" s="61" t="str">
        <x:f>IF(AND($E26&lt;=T$1+6,$F26&gt;=T$1),1,"")</x:f>
      </x:c>
      <x:c r="U26" s="61" t="str">
        <x:f>IF(AND($E26&lt;=U$1+6,$F26&gt;=U$1),1,"")</x:f>
      </x:c>
      <x:c r="V26" s="61" t="str">
        <x:f>IF(AND($E26&lt;=V$1+6,$F26&gt;=V$1),1,"")</x:f>
      </x:c>
      <x:c r="W26" s="61" t="str">
        <x:f>IF(AND($E26&lt;=W$1+6,$F26&gt;=W$1),1,"")</x:f>
      </x:c>
      <x:c r="X26" s="61" t="str">
        <x:f>IF(AND($E26&lt;=X$1+6,$F26&gt;=X$1),1,"")</x:f>
      </x:c>
      <x:c r="Y26" s="61" t="str">
        <x:f>IF(AND($E26&lt;=Y$1+6,$F26&gt;=Y$1),1,"")</x:f>
      </x:c>
      <x:c r="Z26" s="61" t="str">
        <x:f>IF(AND($E26&lt;=Z$1+6,$F26&gt;=Z$1),1,"")</x:f>
      </x:c>
      <x:c r="AA26" s="37" t="str">
        <x:f>IF(AND($E26&lt;=AA$1+6,$F26&gt;=AA$1),1,"")</x:f>
      </x:c>
      <x:c r="AB26" s="37" t="n">
        <x:f>IF(AND($E26&lt;=AB$1+6,$F26&gt;=AB$1),1,"")</x:f>
        <x:v>1</x:v>
      </x:c>
      <x:c r="AC26" s="37" t="str">
        <x:f>IF(AND($E26&lt;=AC$1+6,$F26&gt;=AC$1),1,"")</x:f>
      </x:c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62"/>
      <x:c r="L121" s="62"/>
      <x:c r="M121" s="62"/>
      <x:c r="N121" s="62"/>
      <x:c r="O121" s="62"/>
      <x:c r="P121" s="62"/>
      <x:c r="Q121" s="62"/>
      <x:c r="R121" s="62"/>
      <x:c r="S121" s="62"/>
      <x:c r="T121" s="62"/>
      <x:c r="U121" s="62"/>
      <x:c r="V121" s="62"/>
      <x:c r="W121" s="62"/>
      <x:c r="X121" s="62"/>
      <x:c r="Y121" s="62"/>
      <x:c r="Z121" s="62"/>
    </x:row>
    <x:row r="122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62"/>
      <x:c r="L122" s="62"/>
      <x:c r="M122" s="62"/>
      <x:c r="N122" s="62"/>
      <x:c r="O122" s="62"/>
      <x:c r="P122" s="62"/>
      <x:c r="Q122" s="62"/>
      <x:c r="R122" s="62"/>
      <x:c r="S122" s="62"/>
      <x:c r="T122" s="62"/>
      <x:c r="U122" s="62"/>
      <x:c r="V122" s="62"/>
      <x:c r="W122" s="62"/>
      <x:c r="X122" s="62"/>
      <x:c r="Y122" s="62"/>
      <x:c r="Z122" s="62"/>
    </x:row>
    <x:row r="123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62"/>
      <x:c r="L123" s="62"/>
      <x:c r="M123" s="62"/>
      <x:c r="N123" s="62"/>
      <x:c r="O123" s="62"/>
      <x:c r="P123" s="62"/>
      <x:c r="Q123" s="62"/>
      <x:c r="R123" s="62"/>
      <x:c r="S123" s="62"/>
      <x:c r="T123" s="62"/>
      <x:c r="U123" s="62"/>
      <x:c r="V123" s="62"/>
      <x:c r="W123" s="62"/>
      <x:c r="X123" s="62"/>
      <x:c r="Y123" s="62"/>
      <x:c r="Z123" s="62"/>
    </x:row>
    <x:row r="124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62"/>
      <x:c r="L124" s="62"/>
      <x:c r="M124" s="62"/>
      <x:c r="N124" s="62"/>
      <x:c r="O124" s="62"/>
      <x:c r="P124" s="62"/>
      <x:c r="Q124" s="62"/>
      <x:c r="R124" s="62"/>
      <x:c r="S124" s="62"/>
      <x:c r="T124" s="62"/>
      <x:c r="U124" s="62"/>
      <x:c r="V124" s="62"/>
      <x:c r="W124" s="62"/>
      <x:c r="X124" s="62"/>
      <x:c r="Y124" s="62"/>
      <x:c r="Z124" s="62"/>
    </x:row>
    <x:row r="125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62"/>
      <x:c r="L125" s="62"/>
      <x:c r="M125" s="62"/>
      <x:c r="N125" s="62"/>
      <x:c r="O125" s="62"/>
      <x:c r="P125" s="62"/>
      <x:c r="Q125" s="62"/>
      <x:c r="R125" s="62"/>
      <x:c r="S125" s="62"/>
      <x:c r="T125" s="62"/>
      <x:c r="U125" s="62"/>
      <x:c r="V125" s="62"/>
      <x:c r="W125" s="62"/>
      <x:c r="X125" s="62"/>
      <x:c r="Y125" s="62"/>
      <x:c r="Z125" s="62"/>
    </x:row>
    <x:row r="126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62"/>
      <x:c r="L126" s="62"/>
      <x:c r="M126" s="62"/>
      <x:c r="N126" s="62"/>
      <x:c r="O126" s="62"/>
      <x:c r="P126" s="62"/>
      <x:c r="Q126" s="62"/>
      <x:c r="R126" s="62"/>
      <x:c r="S126" s="62"/>
      <x:c r="T126" s="62"/>
      <x:c r="U126" s="62"/>
      <x:c r="V126" s="62"/>
      <x:c r="W126" s="62"/>
      <x:c r="X126" s="62"/>
      <x:c r="Y126" s="62"/>
      <x:c r="Z126" s="62"/>
    </x:row>
    <x:row r="127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62"/>
      <x:c r="L127" s="62"/>
      <x:c r="M127" s="62"/>
      <x:c r="N127" s="62"/>
      <x:c r="O127" s="62"/>
      <x:c r="P127" s="62"/>
      <x:c r="Q127" s="62"/>
      <x:c r="R127" s="62"/>
      <x:c r="S127" s="62"/>
      <x:c r="T127" s="62"/>
      <x:c r="U127" s="62"/>
      <x:c r="V127" s="62"/>
      <x:c r="W127" s="62"/>
      <x:c r="X127" s="62"/>
      <x:c r="Y127" s="62"/>
      <x:c r="Z127" s="62"/>
    </x:row>
    <x:row r="128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62"/>
      <x:c r="L128" s="62"/>
      <x:c r="M128" s="62"/>
      <x:c r="N128" s="62"/>
      <x:c r="O128" s="62"/>
      <x:c r="P128" s="62"/>
      <x:c r="Q128" s="62"/>
      <x:c r="R128" s="62"/>
      <x:c r="S128" s="62"/>
      <x:c r="T128" s="62"/>
      <x:c r="U128" s="62"/>
      <x:c r="V128" s="62"/>
      <x:c r="W128" s="62"/>
      <x:c r="X128" s="62"/>
      <x:c r="Y128" s="62"/>
      <x:c r="Z128" s="62"/>
    </x:row>
    <x:row r="129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62"/>
      <x:c r="L129" s="62"/>
      <x:c r="M129" s="62"/>
      <x:c r="N129" s="62"/>
      <x:c r="O129" s="62"/>
      <x:c r="P129" s="62"/>
      <x:c r="Q129" s="62"/>
      <x:c r="R129" s="62"/>
      <x:c r="S129" s="62"/>
      <x:c r="T129" s="62"/>
      <x:c r="U129" s="62"/>
      <x:c r="V129" s="62"/>
      <x:c r="W129" s="62"/>
      <x:c r="X129" s="62"/>
      <x:c r="Y129" s="62"/>
      <x:c r="Z129" s="62"/>
    </x:row>
    <x:row r="130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62"/>
      <x:c r="L130" s="62"/>
      <x:c r="M130" s="62"/>
      <x:c r="N130" s="62"/>
      <x:c r="O130" s="62"/>
      <x:c r="P130" s="62"/>
      <x:c r="Q130" s="62"/>
      <x:c r="R130" s="62"/>
      <x:c r="S130" s="62"/>
      <x:c r="T130" s="62"/>
      <x:c r="U130" s="62"/>
      <x:c r="V130" s="62"/>
      <x:c r="W130" s="62"/>
      <x:c r="X130" s="62"/>
      <x:c r="Y130" s="62"/>
      <x:c r="Z130" s="62"/>
    </x:row>
    <x:row r="13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62"/>
      <x:c r="L131" s="62"/>
      <x:c r="M131" s="62"/>
      <x:c r="N131" s="62"/>
      <x:c r="O131" s="62"/>
      <x:c r="P131" s="62"/>
      <x:c r="Q131" s="62"/>
      <x:c r="R131" s="62"/>
      <x:c r="S131" s="62"/>
      <x:c r="T131" s="62"/>
      <x:c r="U131" s="62"/>
      <x:c r="V131" s="62"/>
      <x:c r="W131" s="62"/>
      <x:c r="X131" s="62"/>
      <x:c r="Y131" s="62"/>
      <x:c r="Z131" s="62"/>
    </x:row>
    <x:row r="132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62"/>
      <x:c r="L132" s="62"/>
      <x:c r="M132" s="62"/>
      <x:c r="N132" s="62"/>
      <x:c r="O132" s="62"/>
      <x:c r="P132" s="62"/>
      <x:c r="Q132" s="62"/>
      <x:c r="R132" s="62"/>
      <x:c r="S132" s="62"/>
      <x:c r="T132" s="62"/>
      <x:c r="U132" s="62"/>
      <x:c r="V132" s="62"/>
      <x:c r="W132" s="62"/>
      <x:c r="X132" s="62"/>
      <x:c r="Y132" s="62"/>
      <x:c r="Z132" s="62"/>
    </x:row>
    <x:row r="133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62"/>
      <x:c r="L133" s="62"/>
      <x:c r="M133" s="62"/>
      <x:c r="N133" s="62"/>
      <x:c r="O133" s="62"/>
      <x:c r="P133" s="62"/>
      <x:c r="Q133" s="62"/>
      <x:c r="R133" s="62"/>
      <x:c r="S133" s="62"/>
      <x:c r="T133" s="62"/>
      <x:c r="U133" s="62"/>
      <x:c r="V133" s="62"/>
      <x:c r="W133" s="62"/>
      <x:c r="X133" s="62"/>
      <x:c r="Y133" s="62"/>
      <x:c r="Z133" s="62"/>
    </x:row>
    <x:row r="134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62"/>
      <x:c r="L134" s="62"/>
      <x:c r="M134" s="62"/>
      <x:c r="N134" s="62"/>
      <x:c r="O134" s="62"/>
      <x:c r="P134" s="62"/>
      <x:c r="Q134" s="62"/>
      <x:c r="R134" s="62"/>
      <x:c r="S134" s="62"/>
      <x:c r="T134" s="62"/>
      <x:c r="U134" s="62"/>
      <x:c r="V134" s="62"/>
      <x:c r="W134" s="62"/>
      <x:c r="X134" s="62"/>
      <x:c r="Y134" s="62"/>
      <x:c r="Z134" s="62"/>
    </x:row>
    <x:row r="135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62"/>
      <x:c r="L135" s="62"/>
      <x:c r="M135" s="62"/>
      <x:c r="N135" s="62"/>
      <x:c r="O135" s="62"/>
      <x:c r="P135" s="62"/>
      <x:c r="Q135" s="62"/>
      <x:c r="R135" s="62"/>
      <x:c r="S135" s="62"/>
      <x:c r="T135" s="62"/>
      <x:c r="U135" s="62"/>
      <x:c r="V135" s="62"/>
      <x:c r="W135" s="62"/>
      <x:c r="X135" s="62"/>
      <x:c r="Y135" s="62"/>
      <x:c r="Z135" s="62"/>
    </x:row>
    <x:row r="136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62"/>
      <x:c r="L136" s="62"/>
      <x:c r="M136" s="62"/>
      <x:c r="N136" s="62"/>
      <x:c r="O136" s="62"/>
      <x:c r="P136" s="62"/>
      <x:c r="Q136" s="62"/>
      <x:c r="R136" s="62"/>
      <x:c r="S136" s="62"/>
      <x:c r="T136" s="62"/>
      <x:c r="U136" s="62"/>
      <x:c r="V136" s="62"/>
      <x:c r="W136" s="62"/>
      <x:c r="X136" s="62"/>
      <x:c r="Y136" s="62"/>
      <x:c r="Z136" s="62"/>
    </x:row>
    <x:row r="137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62"/>
      <x:c r="L137" s="62"/>
      <x:c r="M137" s="62"/>
      <x:c r="N137" s="62"/>
      <x:c r="O137" s="62"/>
      <x:c r="P137" s="62"/>
      <x:c r="Q137" s="62"/>
      <x:c r="R137" s="62"/>
      <x:c r="S137" s="62"/>
      <x:c r="T137" s="62"/>
      <x:c r="U137" s="62"/>
      <x:c r="V137" s="62"/>
      <x:c r="W137" s="62"/>
      <x:c r="X137" s="62"/>
      <x:c r="Y137" s="62"/>
      <x:c r="Z137" s="62"/>
    </x:row>
    <x:row r="138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62"/>
      <x:c r="L138" s="62"/>
      <x:c r="M138" s="62"/>
      <x:c r="N138" s="62"/>
      <x:c r="O138" s="62"/>
      <x:c r="P138" s="62"/>
      <x:c r="Q138" s="62"/>
      <x:c r="R138" s="62"/>
      <x:c r="S138" s="62"/>
      <x:c r="T138" s="62"/>
      <x:c r="U138" s="62"/>
      <x:c r="V138" s="62"/>
      <x:c r="W138" s="62"/>
      <x:c r="X138" s="62"/>
      <x:c r="Y138" s="62"/>
      <x:c r="Z138" s="62"/>
    </x:row>
    <x:row r="139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62"/>
      <x:c r="L139" s="62"/>
      <x:c r="M139" s="62"/>
      <x:c r="N139" s="62"/>
      <x:c r="O139" s="62"/>
      <x:c r="P139" s="62"/>
      <x:c r="Q139" s="62"/>
      <x:c r="R139" s="62"/>
      <x:c r="S139" s="62"/>
      <x:c r="T139" s="62"/>
      <x:c r="U139" s="62"/>
      <x:c r="V139" s="62"/>
      <x:c r="W139" s="62"/>
      <x:c r="X139" s="62"/>
      <x:c r="Y139" s="62"/>
      <x:c r="Z139" s="62"/>
    </x:row>
    <x:row r="140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62"/>
      <x:c r="L140" s="62"/>
      <x:c r="M140" s="62"/>
      <x:c r="N140" s="62"/>
      <x:c r="O140" s="62"/>
      <x:c r="P140" s="62"/>
      <x:c r="Q140" s="62"/>
      <x:c r="R140" s="62"/>
      <x:c r="S140" s="62"/>
      <x:c r="T140" s="62"/>
      <x:c r="U140" s="62"/>
      <x:c r="V140" s="62"/>
      <x:c r="W140" s="62"/>
      <x:c r="X140" s="62"/>
      <x:c r="Y140" s="62"/>
      <x:c r="Z140" s="62"/>
    </x:row>
    <x:row r="14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62"/>
      <x:c r="L141" s="62"/>
      <x:c r="M141" s="62"/>
      <x:c r="N141" s="62"/>
      <x:c r="O141" s="62"/>
      <x:c r="P141" s="62"/>
      <x:c r="Q141" s="62"/>
      <x:c r="R141" s="62"/>
      <x:c r="S141" s="62"/>
      <x:c r="T141" s="62"/>
      <x:c r="U141" s="62"/>
      <x:c r="V141" s="62"/>
      <x:c r="W141" s="62"/>
      <x:c r="X141" s="62"/>
      <x:c r="Y141" s="62"/>
      <x:c r="Z141" s="62"/>
    </x:row>
    <x:row r="142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62"/>
      <x:c r="L142" s="62"/>
      <x:c r="M142" s="62"/>
      <x:c r="N142" s="62"/>
      <x:c r="O142" s="62"/>
      <x:c r="P142" s="62"/>
      <x:c r="Q142" s="62"/>
      <x:c r="R142" s="62"/>
      <x:c r="S142" s="62"/>
      <x:c r="T142" s="62"/>
      <x:c r="U142" s="62"/>
      <x:c r="V142" s="62"/>
      <x:c r="W142" s="62"/>
      <x:c r="X142" s="62"/>
      <x:c r="Y142" s="62"/>
      <x:c r="Z142" s="62"/>
    </x:row>
    <x:row r="143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62"/>
      <x:c r="L143" s="62"/>
      <x:c r="M143" s="62"/>
      <x:c r="N143" s="62"/>
      <x:c r="O143" s="62"/>
      <x:c r="P143" s="62"/>
      <x:c r="Q143" s="62"/>
      <x:c r="R143" s="62"/>
      <x:c r="S143" s="62"/>
      <x:c r="T143" s="62"/>
      <x:c r="U143" s="62"/>
      <x:c r="V143" s="62"/>
      <x:c r="W143" s="62"/>
      <x:c r="X143" s="62"/>
      <x:c r="Y143" s="62"/>
      <x:c r="Z143" s="62"/>
    </x:row>
    <x:row r="144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62"/>
      <x:c r="L144" s="62"/>
      <x:c r="M144" s="62"/>
      <x:c r="N144" s="62"/>
      <x:c r="O144" s="62"/>
      <x:c r="P144" s="62"/>
      <x:c r="Q144" s="62"/>
      <x:c r="R144" s="62"/>
      <x:c r="S144" s="62"/>
      <x:c r="T144" s="62"/>
      <x:c r="U144" s="62"/>
      <x:c r="V144" s="62"/>
      <x:c r="W144" s="62"/>
      <x:c r="X144" s="62"/>
      <x:c r="Y144" s="62"/>
      <x:c r="Z144" s="62"/>
    </x:row>
    <x:row r="145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62"/>
      <x:c r="L145" s="62"/>
      <x:c r="M145" s="62"/>
      <x:c r="N145" s="62"/>
      <x:c r="O145" s="62"/>
      <x:c r="P145" s="62"/>
      <x:c r="Q145" s="62"/>
      <x:c r="R145" s="62"/>
      <x:c r="S145" s="62"/>
      <x:c r="T145" s="62"/>
      <x:c r="U145" s="62"/>
      <x:c r="V145" s="62"/>
      <x:c r="W145" s="62"/>
      <x:c r="X145" s="62"/>
      <x:c r="Y145" s="62"/>
      <x:c r="Z145" s="62"/>
    </x:row>
    <x:row r="146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62"/>
      <x:c r="L146" s="62"/>
      <x:c r="M146" s="62"/>
      <x:c r="N146" s="62"/>
      <x:c r="O146" s="62"/>
      <x:c r="P146" s="62"/>
      <x:c r="Q146" s="62"/>
      <x:c r="R146" s="62"/>
      <x:c r="S146" s="62"/>
      <x:c r="T146" s="62"/>
      <x:c r="U146" s="62"/>
      <x:c r="V146" s="62"/>
      <x:c r="W146" s="62"/>
      <x:c r="X146" s="62"/>
      <x:c r="Y146" s="62"/>
      <x:c r="Z146" s="62"/>
    </x:row>
    <x:row r="147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62"/>
      <x:c r="L147" s="62"/>
      <x:c r="M147" s="62"/>
      <x:c r="N147" s="62"/>
      <x:c r="O147" s="62"/>
      <x:c r="P147" s="62"/>
      <x:c r="Q147" s="62"/>
      <x:c r="R147" s="62"/>
      <x:c r="S147" s="62"/>
      <x:c r="T147" s="62"/>
      <x:c r="U147" s="62"/>
      <x:c r="V147" s="62"/>
      <x:c r="W147" s="62"/>
      <x:c r="X147" s="62"/>
      <x:c r="Y147" s="62"/>
      <x:c r="Z147" s="62"/>
    </x:row>
    <x:row r="148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62"/>
      <x:c r="L148" s="62"/>
      <x:c r="M148" s="62"/>
      <x:c r="N148" s="62"/>
      <x:c r="O148" s="62"/>
      <x:c r="P148" s="62"/>
      <x:c r="Q148" s="62"/>
      <x:c r="R148" s="62"/>
      <x:c r="S148" s="62"/>
      <x:c r="T148" s="62"/>
      <x:c r="U148" s="62"/>
      <x:c r="V148" s="62"/>
      <x:c r="W148" s="62"/>
      <x:c r="X148" s="62"/>
      <x:c r="Y148" s="62"/>
      <x:c r="Z148" s="62"/>
    </x:row>
    <x:row r="149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62"/>
      <x:c r="L149" s="62"/>
      <x:c r="M149" s="62"/>
      <x:c r="N149" s="62"/>
      <x:c r="O149" s="62"/>
      <x:c r="P149" s="62"/>
      <x:c r="Q149" s="62"/>
      <x:c r="R149" s="62"/>
      <x:c r="S149" s="62"/>
      <x:c r="T149" s="62"/>
      <x:c r="U149" s="62"/>
      <x:c r="V149" s="62"/>
      <x:c r="W149" s="62"/>
      <x:c r="X149" s="62"/>
      <x:c r="Y149" s="62"/>
      <x:c r="Z149" s="62"/>
    </x:row>
    <x:row r="150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62"/>
      <x:c r="L150" s="62"/>
      <x:c r="M150" s="62"/>
      <x:c r="N150" s="62"/>
      <x:c r="O150" s="62"/>
      <x:c r="P150" s="62"/>
      <x:c r="Q150" s="62"/>
      <x:c r="R150" s="62"/>
      <x:c r="S150" s="62"/>
      <x:c r="T150" s="62"/>
      <x:c r="U150" s="62"/>
      <x:c r="V150" s="62"/>
      <x:c r="W150" s="62"/>
      <x:c r="X150" s="62"/>
      <x:c r="Y150" s="62"/>
      <x:c r="Z150" s="62"/>
    </x:row>
    <x:row r="15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62"/>
      <x:c r="L151" s="62"/>
      <x:c r="M151" s="62"/>
      <x:c r="N151" s="62"/>
      <x:c r="O151" s="62"/>
      <x:c r="P151" s="62"/>
      <x:c r="Q151" s="62"/>
      <x:c r="R151" s="62"/>
      <x:c r="S151" s="62"/>
      <x:c r="T151" s="62"/>
      <x:c r="U151" s="62"/>
      <x:c r="V151" s="62"/>
      <x:c r="W151" s="62"/>
      <x:c r="X151" s="62"/>
      <x:c r="Y151" s="62"/>
      <x:c r="Z151" s="62"/>
    </x:row>
    <x:row r="152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62"/>
      <x:c r="L152" s="62"/>
      <x:c r="M152" s="62"/>
      <x:c r="N152" s="62"/>
      <x:c r="O152" s="62"/>
      <x:c r="P152" s="62"/>
      <x:c r="Q152" s="62"/>
      <x:c r="R152" s="62"/>
      <x:c r="S152" s="62"/>
      <x:c r="T152" s="62"/>
      <x:c r="U152" s="62"/>
      <x:c r="V152" s="62"/>
      <x:c r="W152" s="62"/>
      <x:c r="X152" s="62"/>
      <x:c r="Y152" s="62"/>
      <x:c r="Z152" s="62"/>
    </x:row>
    <x:row r="153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62"/>
      <x:c r="L153" s="62"/>
      <x:c r="M153" s="62"/>
      <x:c r="N153" s="62"/>
      <x:c r="O153" s="62"/>
      <x:c r="P153" s="62"/>
      <x:c r="Q153" s="62"/>
      <x:c r="R153" s="62"/>
      <x:c r="S153" s="62"/>
      <x:c r="T153" s="62"/>
      <x:c r="U153" s="62"/>
      <x:c r="V153" s="62"/>
      <x:c r="W153" s="62"/>
      <x:c r="X153" s="62"/>
      <x:c r="Y153" s="62"/>
      <x:c r="Z153" s="62"/>
    </x:row>
    <x:row r="154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62"/>
      <x:c r="L154" s="62"/>
      <x:c r="M154" s="62"/>
      <x:c r="N154" s="62"/>
      <x:c r="O154" s="62"/>
      <x:c r="P154" s="62"/>
      <x:c r="Q154" s="62"/>
      <x:c r="R154" s="62"/>
      <x:c r="S154" s="62"/>
      <x:c r="T154" s="62"/>
      <x:c r="U154" s="62"/>
      <x:c r="V154" s="62"/>
      <x:c r="W154" s="62"/>
      <x:c r="X154" s="62"/>
      <x:c r="Y154" s="62"/>
      <x:c r="Z154" s="62"/>
    </x:row>
    <x:row r="155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62"/>
      <x:c r="L155" s="62"/>
      <x:c r="M155" s="62"/>
      <x:c r="N155" s="62"/>
      <x:c r="O155" s="62"/>
      <x:c r="P155" s="62"/>
      <x:c r="Q155" s="62"/>
      <x:c r="R155" s="62"/>
      <x:c r="S155" s="62"/>
      <x:c r="T155" s="62"/>
      <x:c r="U155" s="62"/>
      <x:c r="V155" s="62"/>
      <x:c r="W155" s="62"/>
      <x:c r="X155" s="62"/>
      <x:c r="Y155" s="62"/>
      <x:c r="Z155" s="62"/>
    </x:row>
    <x:row r="156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62"/>
      <x:c r="L156" s="62"/>
      <x:c r="M156" s="62"/>
      <x:c r="N156" s="62"/>
      <x:c r="O156" s="62"/>
      <x:c r="P156" s="62"/>
      <x:c r="Q156" s="62"/>
      <x:c r="R156" s="62"/>
      <x:c r="S156" s="62"/>
      <x:c r="T156" s="62"/>
      <x:c r="U156" s="62"/>
      <x:c r="V156" s="62"/>
      <x:c r="W156" s="62"/>
      <x:c r="X156" s="62"/>
      <x:c r="Y156" s="62"/>
      <x:c r="Z156" s="62"/>
    </x:row>
    <x:row r="157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62"/>
      <x:c r="L157" s="62"/>
      <x:c r="M157" s="62"/>
      <x:c r="N157" s="62"/>
      <x:c r="O157" s="62"/>
      <x:c r="P157" s="62"/>
      <x:c r="Q157" s="62"/>
      <x:c r="R157" s="62"/>
      <x:c r="S157" s="62"/>
      <x:c r="T157" s="62"/>
      <x:c r="U157" s="62"/>
      <x:c r="V157" s="62"/>
      <x:c r="W157" s="62"/>
      <x:c r="X157" s="62"/>
      <x:c r="Y157" s="62"/>
      <x:c r="Z157" s="62"/>
    </x:row>
    <x:row r="158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62"/>
      <x:c r="L158" s="62"/>
      <x:c r="M158" s="62"/>
      <x:c r="N158" s="62"/>
      <x:c r="O158" s="62"/>
      <x:c r="P158" s="62"/>
      <x:c r="Q158" s="62"/>
      <x:c r="R158" s="62"/>
      <x:c r="S158" s="62"/>
      <x:c r="T158" s="62"/>
      <x:c r="U158" s="62"/>
      <x:c r="V158" s="62"/>
      <x:c r="W158" s="62"/>
      <x:c r="X158" s="62"/>
      <x:c r="Y158" s="62"/>
      <x:c r="Z158" s="62"/>
    </x:row>
    <x:row r="159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62"/>
      <x:c r="L159" s="62"/>
      <x:c r="M159" s="62"/>
      <x:c r="N159" s="62"/>
      <x:c r="O159" s="62"/>
      <x:c r="P159" s="62"/>
      <x:c r="Q159" s="62"/>
      <x:c r="R159" s="62"/>
      <x:c r="S159" s="62"/>
      <x:c r="T159" s="62"/>
      <x:c r="U159" s="62"/>
      <x:c r="V159" s="62"/>
      <x:c r="W159" s="62"/>
      <x:c r="X159" s="62"/>
      <x:c r="Y159" s="62"/>
      <x:c r="Z159" s="62"/>
    </x:row>
    <x:row r="160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62"/>
      <x:c r="L160" s="62"/>
      <x:c r="M160" s="62"/>
      <x:c r="N160" s="62"/>
      <x:c r="O160" s="62"/>
      <x:c r="P160" s="62"/>
      <x:c r="Q160" s="62"/>
      <x:c r="R160" s="62"/>
      <x:c r="S160" s="62"/>
      <x:c r="T160" s="62"/>
      <x:c r="U160" s="62"/>
      <x:c r="V160" s="62"/>
      <x:c r="W160" s="62"/>
      <x:c r="X160" s="62"/>
      <x:c r="Y160" s="62"/>
      <x:c r="Z160" s="62"/>
    </x:row>
    <x:row r="16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62"/>
      <x:c r="L161" s="62"/>
      <x:c r="M161" s="62"/>
      <x:c r="N161" s="62"/>
      <x:c r="O161" s="62"/>
      <x:c r="P161" s="62"/>
      <x:c r="Q161" s="62"/>
      <x:c r="R161" s="62"/>
      <x:c r="S161" s="62"/>
      <x:c r="T161" s="62"/>
      <x:c r="U161" s="62"/>
      <x:c r="V161" s="62"/>
      <x:c r="W161" s="62"/>
      <x:c r="X161" s="62"/>
      <x:c r="Y161" s="62"/>
      <x:c r="Z161" s="62"/>
    </x:row>
    <x:row r="162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62"/>
      <x:c r="L162" s="62"/>
      <x:c r="M162" s="62"/>
      <x:c r="N162" s="62"/>
      <x:c r="O162" s="62"/>
      <x:c r="P162" s="62"/>
      <x:c r="Q162" s="62"/>
      <x:c r="R162" s="62"/>
      <x:c r="S162" s="62"/>
      <x:c r="T162" s="62"/>
      <x:c r="U162" s="62"/>
      <x:c r="V162" s="62"/>
      <x:c r="W162" s="62"/>
      <x:c r="X162" s="62"/>
      <x:c r="Y162" s="62"/>
      <x:c r="Z162" s="62"/>
    </x:row>
    <x:row r="163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62"/>
      <x:c r="L163" s="62"/>
      <x:c r="M163" s="62"/>
      <x:c r="N163" s="62"/>
      <x:c r="O163" s="62"/>
      <x:c r="P163" s="62"/>
      <x:c r="Q163" s="62"/>
      <x:c r="R163" s="62"/>
      <x:c r="S163" s="62"/>
      <x:c r="T163" s="62"/>
      <x:c r="U163" s="62"/>
      <x:c r="V163" s="62"/>
      <x:c r="W163" s="62"/>
      <x:c r="X163" s="62"/>
      <x:c r="Y163" s="62"/>
      <x:c r="Z163" s="62"/>
    </x:row>
    <x:row r="164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62"/>
      <x:c r="L164" s="62"/>
      <x:c r="M164" s="62"/>
      <x:c r="N164" s="62"/>
      <x:c r="O164" s="62"/>
      <x:c r="P164" s="62"/>
      <x:c r="Q164" s="62"/>
      <x:c r="R164" s="62"/>
      <x:c r="S164" s="62"/>
      <x:c r="T164" s="62"/>
      <x:c r="U164" s="62"/>
      <x:c r="V164" s="62"/>
      <x:c r="W164" s="62"/>
      <x:c r="X164" s="62"/>
      <x:c r="Y164" s="62"/>
      <x:c r="Z164" s="62"/>
    </x:row>
    <x:row r="165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62"/>
      <x:c r="L165" s="62"/>
      <x:c r="M165" s="62"/>
      <x:c r="N165" s="62"/>
      <x:c r="O165" s="62"/>
      <x:c r="P165" s="62"/>
      <x:c r="Q165" s="62"/>
      <x:c r="R165" s="62"/>
      <x:c r="S165" s="62"/>
      <x:c r="T165" s="62"/>
      <x:c r="U165" s="62"/>
      <x:c r="V165" s="62"/>
      <x:c r="W165" s="62"/>
      <x:c r="X165" s="62"/>
      <x:c r="Y165" s="62"/>
      <x:c r="Z165" s="62"/>
    </x:row>
    <x:row r="166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62"/>
      <x:c r="L166" s="62"/>
      <x:c r="M166" s="62"/>
      <x:c r="N166" s="62"/>
      <x:c r="O166" s="62"/>
      <x:c r="P166" s="62"/>
      <x:c r="Q166" s="62"/>
      <x:c r="R166" s="62"/>
      <x:c r="S166" s="62"/>
      <x:c r="T166" s="62"/>
      <x:c r="U166" s="62"/>
      <x:c r="V166" s="62"/>
      <x:c r="W166" s="62"/>
      <x:c r="X166" s="62"/>
      <x:c r="Y166" s="62"/>
      <x:c r="Z166" s="62"/>
    </x:row>
    <x:row r="167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62"/>
      <x:c r="L167" s="62"/>
      <x:c r="M167" s="62"/>
      <x:c r="N167" s="62"/>
      <x:c r="O167" s="62"/>
      <x:c r="P167" s="62"/>
      <x:c r="Q167" s="62"/>
      <x:c r="R167" s="62"/>
      <x:c r="S167" s="62"/>
      <x:c r="T167" s="62"/>
      <x:c r="U167" s="62"/>
      <x:c r="V167" s="62"/>
      <x:c r="W167" s="62"/>
      <x:c r="X167" s="62"/>
      <x:c r="Y167" s="62"/>
      <x:c r="Z167" s="62"/>
    </x:row>
    <x:row r="168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62"/>
      <x:c r="L168" s="62"/>
      <x:c r="M168" s="62"/>
      <x:c r="N168" s="62"/>
      <x:c r="O168" s="62"/>
      <x:c r="P168" s="62"/>
      <x:c r="Q168" s="62"/>
      <x:c r="R168" s="62"/>
      <x:c r="S168" s="62"/>
      <x:c r="T168" s="62"/>
      <x:c r="U168" s="62"/>
      <x:c r="V168" s="62"/>
      <x:c r="W168" s="62"/>
      <x:c r="X168" s="62"/>
      <x:c r="Y168" s="62"/>
      <x:c r="Z168" s="62"/>
    </x:row>
    <x:row r="169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62"/>
      <x:c r="L169" s="62"/>
      <x:c r="M169" s="62"/>
      <x:c r="N169" s="62"/>
      <x:c r="O169" s="62"/>
      <x:c r="P169" s="62"/>
      <x:c r="Q169" s="62"/>
      <x:c r="R169" s="62"/>
      <x:c r="S169" s="62"/>
      <x:c r="T169" s="62"/>
      <x:c r="U169" s="62"/>
      <x:c r="V169" s="62"/>
      <x:c r="W169" s="62"/>
      <x:c r="X169" s="62"/>
      <x:c r="Y169" s="62"/>
      <x:c r="Z169" s="62"/>
    </x:row>
    <x:row r="170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62"/>
      <x:c r="L170" s="62"/>
      <x:c r="M170" s="62"/>
      <x:c r="N170" s="62"/>
      <x:c r="O170" s="62"/>
      <x:c r="P170" s="62"/>
      <x:c r="Q170" s="62"/>
      <x:c r="R170" s="62"/>
      <x:c r="S170" s="62"/>
      <x:c r="T170" s="62"/>
      <x:c r="U170" s="62"/>
      <x:c r="V170" s="62"/>
      <x:c r="W170" s="62"/>
      <x:c r="X170" s="62"/>
      <x:c r="Y170" s="62"/>
      <x:c r="Z170" s="62"/>
    </x:row>
    <x:row r="17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62"/>
      <x:c r="L171" s="62"/>
      <x:c r="M171" s="62"/>
      <x:c r="N171" s="62"/>
      <x:c r="O171" s="62"/>
      <x:c r="P171" s="62"/>
      <x:c r="Q171" s="62"/>
      <x:c r="R171" s="62"/>
      <x:c r="S171" s="62"/>
      <x:c r="T171" s="62"/>
      <x:c r="U171" s="62"/>
      <x:c r="V171" s="62"/>
      <x:c r="W171" s="62"/>
      <x:c r="X171" s="62"/>
      <x:c r="Y171" s="62"/>
      <x:c r="Z171" s="62"/>
    </x:row>
    <x:row r="172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62"/>
      <x:c r="L172" s="62"/>
      <x:c r="M172" s="62"/>
      <x:c r="N172" s="62"/>
      <x:c r="O172" s="62"/>
      <x:c r="P172" s="62"/>
      <x:c r="Q172" s="62"/>
      <x:c r="R172" s="62"/>
      <x:c r="S172" s="62"/>
      <x:c r="T172" s="62"/>
      <x:c r="U172" s="62"/>
      <x:c r="V172" s="62"/>
      <x:c r="W172" s="62"/>
      <x:c r="X172" s="62"/>
      <x:c r="Y172" s="62"/>
      <x:c r="Z172" s="62"/>
    </x:row>
    <x:row r="173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62"/>
      <x:c r="L173" s="62"/>
      <x:c r="M173" s="62"/>
      <x:c r="N173" s="62"/>
      <x:c r="O173" s="62"/>
      <x:c r="P173" s="62"/>
      <x:c r="Q173" s="62"/>
      <x:c r="R173" s="62"/>
      <x:c r="S173" s="62"/>
      <x:c r="T173" s="62"/>
      <x:c r="U173" s="62"/>
      <x:c r="V173" s="62"/>
      <x:c r="W173" s="62"/>
      <x:c r="X173" s="62"/>
      <x:c r="Y173" s="62"/>
      <x:c r="Z173" s="62"/>
    </x:row>
    <x:row r="174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62"/>
      <x:c r="L174" s="62"/>
      <x:c r="M174" s="62"/>
      <x:c r="N174" s="62"/>
      <x:c r="O174" s="62"/>
      <x:c r="P174" s="62"/>
      <x:c r="Q174" s="62"/>
      <x:c r="R174" s="62"/>
      <x:c r="S174" s="62"/>
      <x:c r="T174" s="62"/>
      <x:c r="U174" s="62"/>
      <x:c r="V174" s="62"/>
      <x:c r="W174" s="62"/>
      <x:c r="X174" s="62"/>
      <x:c r="Y174" s="62"/>
      <x:c r="Z174" s="62"/>
    </x:row>
    <x:row r="175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62"/>
      <x:c r="L175" s="62"/>
      <x:c r="M175" s="62"/>
      <x:c r="N175" s="62"/>
      <x:c r="O175" s="62"/>
      <x:c r="P175" s="62"/>
      <x:c r="Q175" s="62"/>
      <x:c r="R175" s="62"/>
      <x:c r="S175" s="62"/>
      <x:c r="T175" s="62"/>
      <x:c r="U175" s="62"/>
      <x:c r="V175" s="62"/>
      <x:c r="W175" s="62"/>
      <x:c r="X175" s="62"/>
      <x:c r="Y175" s="62"/>
      <x:c r="Z175" s="62"/>
    </x:row>
    <x:row r="176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62"/>
      <x:c r="L176" s="62"/>
      <x:c r="M176" s="62"/>
      <x:c r="N176" s="62"/>
      <x:c r="O176" s="62"/>
      <x:c r="P176" s="62"/>
      <x:c r="Q176" s="62"/>
      <x:c r="R176" s="62"/>
      <x:c r="S176" s="62"/>
      <x:c r="T176" s="62"/>
      <x:c r="U176" s="62"/>
      <x:c r="V176" s="62"/>
      <x:c r="W176" s="62"/>
      <x:c r="X176" s="62"/>
      <x:c r="Y176" s="62"/>
      <x:c r="Z176" s="62"/>
    </x:row>
    <x:row r="177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62"/>
      <x:c r="L177" s="62"/>
      <x:c r="M177" s="62"/>
      <x:c r="N177" s="62"/>
      <x:c r="O177" s="62"/>
      <x:c r="P177" s="62"/>
      <x:c r="Q177" s="62"/>
      <x:c r="R177" s="62"/>
      <x:c r="S177" s="62"/>
      <x:c r="T177" s="62"/>
      <x:c r="U177" s="62"/>
      <x:c r="V177" s="62"/>
      <x:c r="W177" s="62"/>
      <x:c r="X177" s="62"/>
      <x:c r="Y177" s="62"/>
      <x:c r="Z177" s="62"/>
    </x:row>
    <x:row r="178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62"/>
      <x:c r="L178" s="62"/>
      <x:c r="M178" s="62"/>
      <x:c r="N178" s="62"/>
      <x:c r="O178" s="62"/>
      <x:c r="P178" s="62"/>
      <x:c r="Q178" s="62"/>
      <x:c r="R178" s="62"/>
      <x:c r="S178" s="62"/>
      <x:c r="T178" s="62"/>
      <x:c r="U178" s="62"/>
      <x:c r="V178" s="62"/>
      <x:c r="W178" s="62"/>
      <x:c r="X178" s="62"/>
      <x:c r="Y178" s="62"/>
      <x:c r="Z178" s="62"/>
    </x:row>
    <x:row r="179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62"/>
      <x:c r="L179" s="62"/>
      <x:c r="M179" s="62"/>
      <x:c r="N179" s="62"/>
      <x:c r="O179" s="62"/>
      <x:c r="P179" s="62"/>
      <x:c r="Q179" s="62"/>
      <x:c r="R179" s="62"/>
      <x:c r="S179" s="62"/>
      <x:c r="T179" s="62"/>
      <x:c r="U179" s="62"/>
      <x:c r="V179" s="62"/>
      <x:c r="W179" s="62"/>
      <x:c r="X179" s="62"/>
      <x:c r="Y179" s="62"/>
      <x:c r="Z179" s="62"/>
    </x:row>
    <x:row r="180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  <x:c r="L180" s="62"/>
      <x:c r="M180" s="62"/>
      <x:c r="N180" s="62"/>
      <x:c r="O180" s="62"/>
      <x:c r="P180" s="62"/>
      <x:c r="Q180" s="62"/>
      <x:c r="R180" s="62"/>
      <x:c r="S180" s="62"/>
      <x:c r="T180" s="62"/>
      <x:c r="U180" s="62"/>
      <x:c r="V180" s="62"/>
      <x:c r="W180" s="62"/>
      <x:c r="X180" s="62"/>
      <x:c r="Y180" s="62"/>
      <x:c r="Z180" s="62"/>
    </x:row>
    <x:row r="18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  <x:c r="K181" s="62"/>
      <x:c r="L181" s="62"/>
      <x:c r="M181" s="62"/>
      <x:c r="N181" s="62"/>
      <x:c r="O181" s="62"/>
      <x:c r="P181" s="62"/>
      <x:c r="Q181" s="62"/>
      <x:c r="R181" s="62"/>
      <x:c r="S181" s="62"/>
      <x:c r="T181" s="62"/>
      <x:c r="U181" s="62"/>
      <x:c r="V181" s="62"/>
      <x:c r="W181" s="62"/>
      <x:c r="X181" s="62"/>
      <x:c r="Y181" s="62"/>
      <x:c r="Z181" s="62"/>
    </x:row>
    <x:row r="182">
      <x:c r="A182" s="62"/>
      <x:c r="B182" s="62"/>
      <x:c r="C182" s="62"/>
      <x:c r="D182" s="62"/>
      <x:c r="E182" s="62"/>
      <x:c r="F182" s="62"/>
      <x:c r="G182" s="62"/>
      <x:c r="H182" s="62"/>
      <x:c r="I182" s="62"/>
      <x:c r="J182" s="62"/>
      <x:c r="K182" s="62"/>
      <x:c r="L182" s="62"/>
      <x:c r="M182" s="62"/>
      <x:c r="N182" s="62"/>
      <x:c r="O182" s="62"/>
      <x:c r="P182" s="62"/>
      <x:c r="Q182" s="62"/>
      <x:c r="R182" s="62"/>
      <x:c r="S182" s="62"/>
      <x:c r="T182" s="62"/>
      <x:c r="U182" s="62"/>
      <x:c r="V182" s="62"/>
      <x:c r="W182" s="62"/>
      <x:c r="X182" s="62"/>
      <x:c r="Y182" s="62"/>
      <x:c r="Z182" s="62"/>
    </x:row>
    <x:row r="183">
      <x:c r="A183" s="62"/>
      <x:c r="B183" s="62"/>
      <x:c r="C183" s="62"/>
      <x:c r="D183" s="62"/>
      <x:c r="E183" s="62"/>
      <x:c r="F183" s="62"/>
      <x:c r="G183" s="62"/>
      <x:c r="H183" s="62"/>
      <x:c r="I183" s="62"/>
      <x:c r="J183" s="62"/>
      <x:c r="K183" s="62"/>
      <x:c r="L183" s="62"/>
      <x:c r="M183" s="62"/>
      <x:c r="N183" s="62"/>
      <x:c r="O183" s="62"/>
      <x:c r="P183" s="62"/>
      <x:c r="Q183" s="62"/>
      <x:c r="R183" s="62"/>
      <x:c r="S183" s="62"/>
      <x:c r="T183" s="62"/>
      <x:c r="U183" s="62"/>
      <x:c r="V183" s="62"/>
      <x:c r="W183" s="62"/>
      <x:c r="X183" s="62"/>
      <x:c r="Y183" s="62"/>
      <x:c r="Z183" s="62"/>
    </x:row>
    <x:row r="184">
      <x:c r="A184" s="62"/>
      <x:c r="B184" s="62"/>
      <x:c r="C184" s="62"/>
      <x:c r="D184" s="62"/>
      <x:c r="E184" s="62"/>
      <x:c r="F184" s="62"/>
      <x:c r="G184" s="62"/>
      <x:c r="H184" s="62"/>
      <x:c r="I184" s="62"/>
      <x:c r="J184" s="62"/>
      <x:c r="K184" s="62"/>
      <x:c r="L184" s="62"/>
      <x:c r="M184" s="62"/>
      <x:c r="N184" s="62"/>
      <x:c r="O184" s="62"/>
      <x:c r="P184" s="62"/>
      <x:c r="Q184" s="62"/>
      <x:c r="R184" s="62"/>
      <x:c r="S184" s="62"/>
      <x:c r="T184" s="62"/>
      <x:c r="U184" s="62"/>
      <x:c r="V184" s="62"/>
      <x:c r="W184" s="62"/>
      <x:c r="X184" s="62"/>
      <x:c r="Y184" s="62"/>
      <x:c r="Z184" s="62"/>
    </x:row>
    <x:row r="185">
      <x:c r="A185" s="62"/>
      <x:c r="B185" s="62"/>
      <x:c r="C185" s="62"/>
      <x:c r="D185" s="62"/>
      <x:c r="E185" s="62"/>
      <x:c r="F185" s="62"/>
      <x:c r="G185" s="62"/>
      <x:c r="H185" s="62"/>
      <x:c r="I185" s="62"/>
      <x:c r="J185" s="62"/>
      <x:c r="K185" s="62"/>
      <x:c r="L185" s="62"/>
      <x:c r="M185" s="62"/>
      <x:c r="N185" s="62"/>
      <x:c r="O185" s="62"/>
      <x:c r="P185" s="62"/>
      <x:c r="Q185" s="62"/>
      <x:c r="R185" s="62"/>
      <x:c r="S185" s="62"/>
      <x:c r="T185" s="62"/>
      <x:c r="U185" s="62"/>
      <x:c r="V185" s="62"/>
      <x:c r="W185" s="62"/>
      <x:c r="X185" s="62"/>
      <x:c r="Y185" s="62"/>
      <x:c r="Z185" s="62"/>
    </x:row>
    <x:row r="186">
      <x:c r="A186" s="62"/>
      <x:c r="B186" s="62"/>
      <x:c r="C186" s="62"/>
      <x:c r="D186" s="62"/>
      <x:c r="E186" s="62"/>
      <x:c r="F186" s="62"/>
      <x:c r="G186" s="62"/>
      <x:c r="H186" s="62"/>
      <x:c r="I186" s="62"/>
      <x:c r="J186" s="62"/>
      <x:c r="K186" s="62"/>
      <x:c r="L186" s="62"/>
      <x:c r="M186" s="62"/>
      <x:c r="N186" s="62"/>
      <x:c r="O186" s="62"/>
      <x:c r="P186" s="62"/>
      <x:c r="Q186" s="62"/>
      <x:c r="R186" s="62"/>
      <x:c r="S186" s="62"/>
      <x:c r="T186" s="62"/>
      <x:c r="U186" s="62"/>
      <x:c r="V186" s="62"/>
      <x:c r="W186" s="62"/>
      <x:c r="X186" s="62"/>
      <x:c r="Y186" s="62"/>
      <x:c r="Z186" s="62"/>
    </x:row>
    <x:row r="187">
      <x:c r="A187" s="62"/>
      <x:c r="B187" s="62"/>
      <x:c r="C187" s="62"/>
      <x:c r="D187" s="62"/>
      <x:c r="E187" s="62"/>
      <x:c r="F187" s="62"/>
      <x:c r="G187" s="62"/>
      <x:c r="H187" s="62"/>
      <x:c r="I187" s="62"/>
      <x:c r="J187" s="62"/>
      <x:c r="K187" s="62"/>
      <x:c r="L187" s="62"/>
      <x:c r="M187" s="62"/>
      <x:c r="N187" s="62"/>
      <x:c r="O187" s="62"/>
      <x:c r="P187" s="62"/>
      <x:c r="Q187" s="62"/>
      <x:c r="R187" s="62"/>
      <x:c r="S187" s="62"/>
      <x:c r="T187" s="62"/>
      <x:c r="U187" s="62"/>
      <x:c r="V187" s="62"/>
      <x:c r="W187" s="62"/>
      <x:c r="X187" s="62"/>
      <x:c r="Y187" s="62"/>
      <x:c r="Z187" s="62"/>
    </x:row>
    <x:row r="188">
      <x:c r="A188" s="62"/>
      <x:c r="B188" s="62"/>
      <x:c r="C188" s="62"/>
      <x:c r="D188" s="62"/>
      <x:c r="E188" s="62"/>
      <x:c r="F188" s="62"/>
      <x:c r="G188" s="62"/>
      <x:c r="H188" s="62"/>
      <x:c r="I188" s="62"/>
      <x:c r="J188" s="62"/>
      <x:c r="K188" s="62"/>
      <x:c r="L188" s="62"/>
      <x:c r="M188" s="62"/>
      <x:c r="N188" s="62"/>
      <x:c r="O188" s="62"/>
      <x:c r="P188" s="62"/>
      <x:c r="Q188" s="62"/>
      <x:c r="R188" s="62"/>
      <x:c r="S188" s="62"/>
      <x:c r="T188" s="62"/>
      <x:c r="U188" s="62"/>
      <x:c r="V188" s="62"/>
      <x:c r="W188" s="62"/>
      <x:c r="X188" s="62"/>
      <x:c r="Y188" s="62"/>
      <x:c r="Z188" s="62"/>
    </x:row>
    <x:row r="189">
      <x:c r="A189" s="62"/>
      <x:c r="B189" s="62"/>
      <x:c r="C189" s="62"/>
      <x:c r="D189" s="62"/>
      <x:c r="E189" s="62"/>
      <x:c r="F189" s="62"/>
      <x:c r="G189" s="62"/>
      <x:c r="H189" s="62"/>
      <x:c r="I189" s="62"/>
      <x:c r="J189" s="62"/>
      <x:c r="K189" s="62"/>
      <x:c r="L189" s="62"/>
      <x:c r="M189" s="62"/>
      <x:c r="N189" s="62"/>
      <x:c r="O189" s="62"/>
      <x:c r="P189" s="62"/>
      <x:c r="Q189" s="62"/>
      <x:c r="R189" s="62"/>
      <x:c r="S189" s="62"/>
      <x:c r="T189" s="62"/>
      <x:c r="U189" s="62"/>
      <x:c r="V189" s="62"/>
      <x:c r="W189" s="62"/>
      <x:c r="X189" s="62"/>
      <x:c r="Y189" s="62"/>
      <x:c r="Z189" s="62"/>
    </x:row>
    <x:row r="190">
      <x:c r="A190" s="62"/>
      <x:c r="B190" s="62"/>
      <x:c r="C190" s="62"/>
      <x:c r="D190" s="62"/>
      <x:c r="E190" s="62"/>
      <x:c r="F190" s="62"/>
      <x:c r="G190" s="62"/>
      <x:c r="H190" s="62"/>
      <x:c r="I190" s="62"/>
      <x:c r="J190" s="62"/>
      <x:c r="K190" s="62"/>
      <x:c r="L190" s="62"/>
      <x:c r="M190" s="62"/>
      <x:c r="N190" s="62"/>
      <x:c r="O190" s="62"/>
      <x:c r="P190" s="62"/>
      <x:c r="Q190" s="62"/>
      <x:c r="R190" s="62"/>
      <x:c r="S190" s="62"/>
      <x:c r="T190" s="62"/>
      <x:c r="U190" s="62"/>
      <x:c r="V190" s="62"/>
      <x:c r="W190" s="62"/>
      <x:c r="X190" s="62"/>
      <x:c r="Y190" s="62"/>
      <x:c r="Z190" s="62"/>
    </x:row>
    <x:row r="191">
      <x:c r="A191" s="62"/>
      <x:c r="B191" s="62"/>
      <x:c r="C191" s="62"/>
      <x:c r="D191" s="62"/>
      <x:c r="E191" s="62"/>
      <x:c r="F191" s="62"/>
      <x:c r="G191" s="62"/>
      <x:c r="H191" s="62"/>
      <x:c r="I191" s="62"/>
      <x:c r="J191" s="62"/>
      <x:c r="K191" s="62"/>
      <x:c r="L191" s="62"/>
      <x:c r="M191" s="62"/>
      <x:c r="N191" s="62"/>
      <x:c r="O191" s="62"/>
      <x:c r="P191" s="62"/>
      <x:c r="Q191" s="62"/>
      <x:c r="R191" s="62"/>
      <x:c r="S191" s="62"/>
      <x:c r="T191" s="62"/>
      <x:c r="U191" s="62"/>
      <x:c r="V191" s="62"/>
      <x:c r="W191" s="62"/>
      <x:c r="X191" s="62"/>
      <x:c r="Y191" s="62"/>
      <x:c r="Z191" s="62"/>
    </x:row>
    <x:row r="192">
      <x:c r="A192" s="62"/>
      <x:c r="B192" s="62"/>
      <x:c r="C192" s="62"/>
      <x:c r="D192" s="62"/>
      <x:c r="E192" s="62"/>
      <x:c r="F192" s="62"/>
      <x:c r="G192" s="62"/>
      <x:c r="H192" s="62"/>
      <x:c r="I192" s="62"/>
      <x:c r="J192" s="62"/>
      <x:c r="K192" s="62"/>
      <x:c r="L192" s="62"/>
      <x:c r="M192" s="62"/>
      <x:c r="N192" s="62"/>
      <x:c r="O192" s="62"/>
      <x:c r="P192" s="62"/>
      <x:c r="Q192" s="62"/>
      <x:c r="R192" s="62"/>
      <x:c r="S192" s="62"/>
      <x:c r="T192" s="62"/>
      <x:c r="U192" s="62"/>
      <x:c r="V192" s="62"/>
      <x:c r="W192" s="62"/>
      <x:c r="X192" s="62"/>
      <x:c r="Y192" s="62"/>
      <x:c r="Z192" s="62"/>
    </x:row>
    <x:row r="193">
      <x:c r="A193" s="62"/>
      <x:c r="B193" s="62"/>
      <x:c r="C193" s="62"/>
      <x:c r="D193" s="62"/>
      <x:c r="E193" s="62"/>
      <x:c r="F193" s="62"/>
      <x:c r="G193" s="62"/>
      <x:c r="H193" s="62"/>
      <x:c r="I193" s="62"/>
      <x:c r="J193" s="62"/>
      <x:c r="K193" s="62"/>
      <x:c r="L193" s="62"/>
      <x:c r="M193" s="62"/>
      <x:c r="N193" s="62"/>
      <x:c r="O193" s="62"/>
      <x:c r="P193" s="62"/>
      <x:c r="Q193" s="62"/>
      <x:c r="R193" s="62"/>
      <x:c r="S193" s="62"/>
      <x:c r="T193" s="62"/>
      <x:c r="U193" s="62"/>
      <x:c r="V193" s="62"/>
      <x:c r="W193" s="62"/>
      <x:c r="X193" s="62"/>
      <x:c r="Y193" s="62"/>
      <x:c r="Z193" s="62"/>
    </x:row>
    <x:row r="194">
      <x:c r="A194" s="62"/>
      <x:c r="B194" s="62"/>
      <x:c r="C194" s="62"/>
      <x:c r="D194" s="62"/>
      <x:c r="E194" s="62"/>
      <x:c r="F194" s="62"/>
      <x:c r="G194" s="62"/>
      <x:c r="H194" s="62"/>
      <x:c r="I194" s="62"/>
      <x:c r="J194" s="62"/>
      <x:c r="K194" s="62"/>
      <x:c r="L194" s="62"/>
      <x:c r="M194" s="62"/>
      <x:c r="N194" s="62"/>
      <x:c r="O194" s="62"/>
      <x:c r="P194" s="62"/>
      <x:c r="Q194" s="62"/>
      <x:c r="R194" s="62"/>
      <x:c r="S194" s="62"/>
      <x:c r="T194" s="62"/>
      <x:c r="U194" s="62"/>
      <x:c r="V194" s="62"/>
      <x:c r="W194" s="62"/>
      <x:c r="X194" s="62"/>
      <x:c r="Y194" s="62"/>
      <x:c r="Z194" s="62"/>
    </x:row>
    <x:row r="195">
      <x:c r="A195" s="62"/>
      <x:c r="B195" s="62"/>
      <x:c r="C195" s="62"/>
      <x:c r="D195" s="62"/>
      <x:c r="E195" s="62"/>
      <x:c r="F195" s="62"/>
      <x:c r="G195" s="62"/>
      <x:c r="H195" s="62"/>
      <x:c r="I195" s="62"/>
      <x:c r="J195" s="62"/>
      <x:c r="K195" s="62"/>
      <x:c r="L195" s="62"/>
      <x:c r="M195" s="62"/>
      <x:c r="N195" s="62"/>
      <x:c r="O195" s="62"/>
      <x:c r="P195" s="62"/>
      <x:c r="Q195" s="62"/>
      <x:c r="R195" s="62"/>
      <x:c r="S195" s="62"/>
      <x:c r="T195" s="62"/>
      <x:c r="U195" s="62"/>
      <x:c r="V195" s="62"/>
      <x:c r="W195" s="62"/>
      <x:c r="X195" s="62"/>
      <x:c r="Y195" s="62"/>
      <x:c r="Z195" s="62"/>
    </x:row>
    <x:row r="196">
      <x:c r="A196" s="62"/>
      <x:c r="B196" s="62"/>
      <x:c r="C196" s="62"/>
      <x:c r="D196" s="62"/>
      <x:c r="E196" s="62"/>
      <x:c r="F196" s="62"/>
      <x:c r="G196" s="62"/>
      <x:c r="H196" s="62"/>
      <x:c r="I196" s="62"/>
      <x:c r="J196" s="62"/>
      <x:c r="K196" s="62"/>
      <x:c r="L196" s="62"/>
      <x:c r="M196" s="62"/>
      <x:c r="N196" s="62"/>
      <x:c r="O196" s="62"/>
      <x:c r="P196" s="62"/>
      <x:c r="Q196" s="62"/>
      <x:c r="R196" s="62"/>
      <x:c r="S196" s="62"/>
      <x:c r="T196" s="62"/>
      <x:c r="U196" s="62"/>
      <x:c r="V196" s="62"/>
      <x:c r="W196" s="62"/>
      <x:c r="X196" s="62"/>
      <x:c r="Y196" s="62"/>
      <x:c r="Z196" s="62"/>
    </x:row>
    <x:row r="197">
      <x:c r="A197" s="62"/>
      <x:c r="B197" s="62"/>
      <x:c r="C197" s="62"/>
      <x:c r="D197" s="62"/>
      <x:c r="E197" s="62"/>
      <x:c r="F197" s="62"/>
      <x:c r="G197" s="62"/>
      <x:c r="H197" s="62"/>
      <x:c r="I197" s="62"/>
      <x:c r="J197" s="62"/>
      <x:c r="K197" s="62"/>
      <x:c r="L197" s="62"/>
      <x:c r="M197" s="62"/>
      <x:c r="N197" s="62"/>
      <x:c r="O197" s="62"/>
      <x:c r="P197" s="62"/>
      <x:c r="Q197" s="62"/>
      <x:c r="R197" s="62"/>
      <x:c r="S197" s="62"/>
      <x:c r="T197" s="62"/>
      <x:c r="U197" s="62"/>
      <x:c r="V197" s="62"/>
      <x:c r="W197" s="62"/>
      <x:c r="X197" s="62"/>
      <x:c r="Y197" s="62"/>
      <x:c r="Z197" s="62"/>
    </x:row>
    <x:row r="198">
      <x:c r="A198" s="62"/>
      <x:c r="B198" s="62"/>
      <x:c r="C198" s="62"/>
      <x:c r="D198" s="62"/>
      <x:c r="E198" s="62"/>
      <x:c r="F198" s="62"/>
      <x:c r="G198" s="62"/>
      <x:c r="H198" s="62"/>
      <x:c r="I198" s="62"/>
      <x:c r="J198" s="62"/>
      <x:c r="K198" s="62"/>
      <x:c r="L198" s="62"/>
      <x:c r="M198" s="62"/>
      <x:c r="N198" s="62"/>
      <x:c r="O198" s="62"/>
      <x:c r="P198" s="62"/>
      <x:c r="Q198" s="62"/>
      <x:c r="R198" s="62"/>
      <x:c r="S198" s="62"/>
      <x:c r="T198" s="62"/>
      <x:c r="U198" s="62"/>
      <x:c r="V198" s="62"/>
      <x:c r="W198" s="62"/>
      <x:c r="X198" s="62"/>
      <x:c r="Y198" s="62"/>
      <x:c r="Z198" s="62"/>
    </x:row>
    <x:row r="199">
      <x:c r="A199" s="62"/>
      <x:c r="B199" s="62"/>
      <x:c r="C199" s="62"/>
      <x:c r="D199" s="62"/>
      <x:c r="E199" s="62"/>
      <x:c r="F199" s="62"/>
      <x:c r="G199" s="62"/>
      <x:c r="H199" s="62"/>
      <x:c r="I199" s="62"/>
      <x:c r="J199" s="62"/>
      <x:c r="K199" s="62"/>
      <x:c r="L199" s="62"/>
      <x:c r="M199" s="62"/>
      <x:c r="N199" s="62"/>
      <x:c r="O199" s="62"/>
      <x:c r="P199" s="62"/>
      <x:c r="Q199" s="62"/>
      <x:c r="R199" s="62"/>
      <x:c r="S199" s="62"/>
      <x:c r="T199" s="62"/>
      <x:c r="U199" s="62"/>
      <x:c r="V199" s="62"/>
      <x:c r="W199" s="62"/>
      <x:c r="X199" s="62"/>
      <x:c r="Y199" s="62"/>
      <x:c r="Z199" s="62"/>
    </x:row>
    <x:row r="200">
      <x:c r="A200" s="62"/>
      <x:c r="B200" s="62"/>
      <x:c r="C200" s="62"/>
      <x:c r="D200" s="62"/>
      <x:c r="E200" s="62"/>
      <x:c r="F200" s="62"/>
      <x:c r="G200" s="62"/>
      <x:c r="H200" s="62"/>
      <x:c r="I200" s="62"/>
      <x:c r="J200" s="62"/>
      <x:c r="K200" s="62"/>
      <x:c r="L200" s="62"/>
      <x:c r="M200" s="62"/>
      <x:c r="N200" s="62"/>
      <x:c r="O200" s="62"/>
      <x:c r="P200" s="62"/>
      <x:c r="Q200" s="62"/>
      <x:c r="R200" s="62"/>
      <x:c r="S200" s="62"/>
      <x:c r="T200" s="62"/>
      <x:c r="U200" s="62"/>
      <x:c r="V200" s="62"/>
      <x:c r="W200" s="62"/>
      <x:c r="X200" s="62"/>
      <x:c r="Y200" s="62"/>
      <x:c r="Z200" s="62"/>
    </x:row>
  </x:sheetData>
  <x:conditionalFormatting sqref="I2:I26">
    <x:cfRule type="expression" dxfId="1" priority="2">
      <x:formula>$I2="Completado"</x:formula>
    </x:cfRule>
    <x:cfRule type="expression" dxfId="2" priority="3">
      <x:formula>$I2="En progreso"</x:formula>
    </x:cfRule>
    <x:cfRule type="expression" dxfId="3" priority="4">
      <x:formula>$I2="En revisión"</x:formula>
    </x:cfRule>
    <x:cfRule type="expression" dxfId="4" priority="5">
      <x:formula>$I2="Pendiente"</x:formula>
    </x:cfRule>
  </x:conditionalFormatting>
  <x:conditionalFormatting sqref="H2:H26">
    <x:cfRule type="dataBar" priority="6">
      <x:dataBar>
        <x:cfvo type="min"/>
        <x:cfvo type="max"/>
        <x:color rgb="FF3B82F6"/>
      </x:dataBar>
      <x:extLst>
        <x:ext xmlns:x14="http://schemas.microsoft.com/office/spreadsheetml/2009/9/main" uri="{B025F937-C7B1-47D3-B67F-A62EFF666E3E}">
          <x14:id>{597E784F-51B7-50EF-EBF7-4553D2AD2B8A}</x14:id>
        </x:ext>
      </x:extLst>
    </x:cfRule>
  </x:conditionalFormatting>
  <x:conditionalFormatting sqref="L2:AC26">
    <x:cfRule type="expression" dxfId="5" priority="7">
      <x:formula>L2=1</x:formula>
    </x:cfRule>
  </x:conditionalFormatting>
  <x:dataValidations count="2">
    <x:dataValidation type="list" sqref="D2:D26">
      <x:formula1>Catalogos!$B$2:$B$6</x:formula1>
    </x:dataValidation>
    <x:dataValidation type="list" sqref="I2:I26">
      <x:formula1>Catalogos!$A$2:$A$5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06fea7b1b947a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597E784F-51B7-50EF-EBF7-4553D2AD2B8A}">
            <x14:dataBar gradient="1">
              <x14:cfvo type="min"/>
              <x14:cfvo type="max"/>
              <x14:fillColor rgb="FF3B82F6"/>
            </x14:dataBar>
          </x14:cfRule>
          <xm:sqref>H2:H26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4" max="4" width="20" hidden="0" customWidth="1"/>
    <x:col min="5" max="5" width="20" hidden="0" customWidth="1"/>
    <x:col min="6" max="6" width="20" hidden="0" customWidth="1"/>
    <x:col min="3" max="3" width="20" hidden="0" customWidth="1"/>
    <x:col min="7" max="7" width="20" hidden="0" customWidth="1"/>
    <x:col min="8" max="8" width="20" hidden="0" customWidth="1"/>
  </x:cols>
  <x:sheetData>
    <x:row r="1" ht="38" customHeight="1">
      <x:c r="A1" s="70" t="str">
        <x:v>Carta Gantt – Proyecto ConstruFácil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71" t="str">
        <x:v>Indicador</x:v>
      </x:c>
      <x:c r="B3" s="71" t="str">
        <x:v>Valor</x:v>
      </x:c>
      <x:c r="C3" s="62"/>
      <x:c r="D3" s="71" t="str">
        <x:v>Fase</x:v>
      </x:c>
      <x:c r="E3" s="71" t="str">
        <x:v>Actividades</x:v>
      </x:c>
      <x:c r="F3" s="71" t="str">
        <x:v>Avance promedio</x:v>
      </x:c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72" t="str">
        <x:v>Total actividades</x:v>
      </x:c>
      <x:c r="B4" s="72" t="n">
        <x:f>COUNTA(Gantt!A2:A26)</x:f>
        <x:v>25</x:v>
      </x:c>
      <x:c r="C4" s="62"/>
      <x:c r="D4" s="62" t="str">
        <x:v>Inicio y análisis</x:v>
      </x:c>
      <x:c r="E4" s="62" t="n">
        <x:v>1</x:v>
      </x:c>
      <x:c r="F4" s="73" t="n">
        <x:v>1</x:v>
      </x:c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72" t="str">
        <x:v>Fecha inicio</x:v>
      </x:c>
      <x:c r="B5" s="74" t="n">
        <x:f>MIN(Gantt!E2:E26)</x:f>
        <x:v>46091</x:v>
      </x:c>
      <x:c r="C5" s="62"/>
      <x:c r="D5" s="62" t="str">
        <x:v>Planificación y alcance</x:v>
      </x:c>
      <x:c r="E5" s="62" t="n">
        <x:v>2</x:v>
      </x:c>
      <x:c r="F5" s="73" t="n">
        <x:v>1</x:v>
      </x:c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72" t="str">
        <x:v>Fecha término</x:v>
      </x:c>
      <x:c r="B6" s="74" t="n">
        <x:f>MAX(Gantt!F2:F26)</x:f>
        <x:v>46206</x:v>
      </x:c>
      <x:c r="C6" s="62"/>
      <x:c r="D6" s="62" t="str">
        <x:v>Diseño funcional</x:v>
      </x:c>
      <x:c r="E6" s="62" t="n">
        <x:v>2</x:v>
      </x:c>
      <x:c r="F6" s="73" t="n">
        <x:v>1</x:v>
      </x:c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72" t="str">
        <x:v>Avance promedio</x:v>
      </x:c>
      <x:c r="B7" s="75" t="n">
        <x:f>AVERAGE(Gantt!H2:H26)</x:f>
        <x:v>0.944</x:v>
      </x:c>
      <x:c r="C7" s="62"/>
      <x:c r="D7" s="62" t="str">
        <x:v>Diseño técnico</x:v>
      </x:c>
      <x:c r="E7" s="62" t="n">
        <x:v>2</x:v>
      </x:c>
      <x:c r="F7" s="73" t="n">
        <x:v>1</x:v>
      </x:c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72" t="str">
        <x:v>Actividades completadas</x:v>
      </x:c>
      <x:c r="B8" s="72" t="n">
        <x:f>COUNTIF(Gantt!I2:I26,"Completado")</x:f>
        <x:v>22</x:v>
      </x:c>
      <x:c r="C8" s="62"/>
      <x:c r="D8" s="62" t="str">
        <x:v>Ambiente</x:v>
      </x:c>
      <x:c r="E8" s="62" t="n">
        <x:v>1</x:v>
      </x:c>
      <x:c r="F8" s="73" t="n">
        <x:v>1</x:v>
      </x:c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/>
      <x:c r="B9" s="62"/>
      <x:c r="C9" s="62"/>
      <x:c r="D9" s="62" t="str">
        <x:v>Desarrollo backend</x:v>
      </x:c>
      <x:c r="E9" s="62" t="n">
        <x:v>4</x:v>
      </x:c>
      <x:c r="F9" s="73" t="n">
        <x:v>1</x:v>
      </x:c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 t="str">
        <x:v>Desarrollo frontend</x:v>
      </x:c>
      <x:c r="E10" s="62" t="n">
        <x:v>1</x:v>
      </x:c>
      <x:c r="F10" s="73" t="n">
        <x:v>1</x:v>
      </x:c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 t="str">
        <x:v>Integración</x:v>
      </x:c>
      <x:c r="E11" s="62" t="n">
        <x:v>3</x:v>
      </x:c>
      <x:c r="F11" s="73" t="n">
        <x:v>1</x:v>
      </x:c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 t="str">
        <x:v>Despliegue</x:v>
      </x:c>
      <x:c r="E12" s="62" t="n">
        <x:v>1</x:v>
      </x:c>
      <x:c r="F12" s="73" t="n">
        <x:v>1</x:v>
      </x:c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 t="str">
        <x:v>Administración</x:v>
      </x:c>
      <x:c r="E13" s="62" t="n">
        <x:v>1</x:v>
      </x:c>
      <x:c r="F13" s="73" t="n">
        <x:v>1</x:v>
      </x:c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 t="str">
        <x:v>Pruebas</x:v>
      </x:c>
      <x:c r="E14" s="62" t="n">
        <x:v>2</x:v>
      </x:c>
      <x:c r="F14" s="73" t="n">
        <x:v>1</x:v>
      </x:c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 t="str">
        <x:v>Mejoras</x:v>
      </x:c>
      <x:c r="E15" s="62" t="n">
        <x:v>1</x:v>
      </x:c>
      <x:c r="F15" s="73" t="n">
        <x:v>1</x:v>
      </x:c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 t="str">
        <x:v>Documentación</x:v>
      </x:c>
      <x:c r="E16" s="62" t="n">
        <x:v>2</x:v>
      </x:c>
      <x:c r="F16" s="73" t="n">
        <x:v>0.95</x:v>
      </x:c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 t="str">
        <x:v>Presentación</x:v>
      </x:c>
      <x:c r="E17" s="62" t="n">
        <x:v>1</x:v>
      </x:c>
      <x:c r="F17" s="73" t="n">
        <x:v>0.7</x:v>
      </x:c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 t="str">
        <x:v>Cierre</x:v>
      </x:c>
      <x:c r="E18" s="62" t="n">
        <x:v>1</x:v>
      </x:c>
      <x:c r="F18" s="73" t="n">
        <x:v>0</x:v>
      </x:c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76" t="str">
        <x:v>Notas de uso</x:v>
      </x:c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72" t="str">
        <x:v>Esta Carta Gantt resume planificación, desarrollo, pruebas, mejoras, documentación y defensa del proyecto ConstruFácil.</x:v>
      </x:c>
      <x:c r="B28" s="72"/>
      <x:c r="C28" s="72"/>
      <x:c r="D28" s="72"/>
      <x:c r="E28" s="72"/>
      <x:c r="F28" s="72"/>
      <x:c r="G28" s="72"/>
      <x:c r="H28" s="7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72" t="str">
        <x:v>Las fechas fueron estructuradas según el avance final del informe, la pauta de evaluación y el cierre indicado para GitHub/presentación.</x:v>
      </x:c>
      <x:c r="B29" s="72"/>
      <x:c r="C29" s="72"/>
      <x:c r="D29" s="72"/>
      <x:c r="E29" s="72"/>
      <x:c r="F29" s="72"/>
      <x:c r="G29" s="72"/>
      <x:c r="H29" s="7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72" t="str">
        <x:v>Puedes editar estado, responsable, inicio, término y avance; el diagrama se actualiza automáticamente por fórmula.</x:v>
      </x:c>
      <x:c r="B30" s="72"/>
      <x:c r="C30" s="72"/>
      <x:c r="D30" s="72"/>
      <x:c r="E30" s="72"/>
      <x:c r="F30" s="72"/>
      <x:c r="G30" s="72"/>
      <x:c r="H30" s="7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72" t="str">
        <x:v>Archivo sugerido para GitHub: Documentacion/03_PLANIFICACION_GANTT.xlsx</x:v>
      </x:c>
      <x:c r="B31" s="72"/>
      <x:c r="C31" s="72"/>
      <x:c r="D31" s="72"/>
      <x:c r="E31" s="72"/>
      <x:c r="F31" s="72"/>
      <x:c r="G31" s="72"/>
      <x:c r="H31" s="7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62"/>
      <x:c r="L121" s="62"/>
      <x:c r="M121" s="62"/>
      <x:c r="N121" s="62"/>
      <x:c r="O121" s="62"/>
      <x:c r="P121" s="62"/>
      <x:c r="Q121" s="62"/>
      <x:c r="R121" s="62"/>
      <x:c r="S121" s="62"/>
      <x:c r="T121" s="62"/>
      <x:c r="U121" s="62"/>
      <x:c r="V121" s="62"/>
      <x:c r="W121" s="62"/>
      <x:c r="X121" s="62"/>
      <x:c r="Y121" s="62"/>
      <x:c r="Z121" s="62"/>
    </x:row>
    <x:row r="122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62"/>
      <x:c r="L122" s="62"/>
      <x:c r="M122" s="62"/>
      <x:c r="N122" s="62"/>
      <x:c r="O122" s="62"/>
      <x:c r="P122" s="62"/>
      <x:c r="Q122" s="62"/>
      <x:c r="R122" s="62"/>
      <x:c r="S122" s="62"/>
      <x:c r="T122" s="62"/>
      <x:c r="U122" s="62"/>
      <x:c r="V122" s="62"/>
      <x:c r="W122" s="62"/>
      <x:c r="X122" s="62"/>
      <x:c r="Y122" s="62"/>
      <x:c r="Z122" s="62"/>
    </x:row>
    <x:row r="123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62"/>
      <x:c r="L123" s="62"/>
      <x:c r="M123" s="62"/>
      <x:c r="N123" s="62"/>
      <x:c r="O123" s="62"/>
      <x:c r="P123" s="62"/>
      <x:c r="Q123" s="62"/>
      <x:c r="R123" s="62"/>
      <x:c r="S123" s="62"/>
      <x:c r="T123" s="62"/>
      <x:c r="U123" s="62"/>
      <x:c r="V123" s="62"/>
      <x:c r="W123" s="62"/>
      <x:c r="X123" s="62"/>
      <x:c r="Y123" s="62"/>
      <x:c r="Z123" s="62"/>
    </x:row>
    <x:row r="124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62"/>
      <x:c r="L124" s="62"/>
      <x:c r="M124" s="62"/>
      <x:c r="N124" s="62"/>
      <x:c r="O124" s="62"/>
      <x:c r="P124" s="62"/>
      <x:c r="Q124" s="62"/>
      <x:c r="R124" s="62"/>
      <x:c r="S124" s="62"/>
      <x:c r="T124" s="62"/>
      <x:c r="U124" s="62"/>
      <x:c r="V124" s="62"/>
      <x:c r="W124" s="62"/>
      <x:c r="X124" s="62"/>
      <x:c r="Y124" s="62"/>
      <x:c r="Z124" s="62"/>
    </x:row>
    <x:row r="125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62"/>
      <x:c r="L125" s="62"/>
      <x:c r="M125" s="62"/>
      <x:c r="N125" s="62"/>
      <x:c r="O125" s="62"/>
      <x:c r="P125" s="62"/>
      <x:c r="Q125" s="62"/>
      <x:c r="R125" s="62"/>
      <x:c r="S125" s="62"/>
      <x:c r="T125" s="62"/>
      <x:c r="U125" s="62"/>
      <x:c r="V125" s="62"/>
      <x:c r="W125" s="62"/>
      <x:c r="X125" s="62"/>
      <x:c r="Y125" s="62"/>
      <x:c r="Z125" s="62"/>
    </x:row>
    <x:row r="126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62"/>
      <x:c r="L126" s="62"/>
      <x:c r="M126" s="62"/>
      <x:c r="N126" s="62"/>
      <x:c r="O126" s="62"/>
      <x:c r="P126" s="62"/>
      <x:c r="Q126" s="62"/>
      <x:c r="R126" s="62"/>
      <x:c r="S126" s="62"/>
      <x:c r="T126" s="62"/>
      <x:c r="U126" s="62"/>
      <x:c r="V126" s="62"/>
      <x:c r="W126" s="62"/>
      <x:c r="X126" s="62"/>
      <x:c r="Y126" s="62"/>
      <x:c r="Z126" s="62"/>
    </x:row>
    <x:row r="127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62"/>
      <x:c r="L127" s="62"/>
      <x:c r="M127" s="62"/>
      <x:c r="N127" s="62"/>
      <x:c r="O127" s="62"/>
      <x:c r="P127" s="62"/>
      <x:c r="Q127" s="62"/>
      <x:c r="R127" s="62"/>
      <x:c r="S127" s="62"/>
      <x:c r="T127" s="62"/>
      <x:c r="U127" s="62"/>
      <x:c r="V127" s="62"/>
      <x:c r="W127" s="62"/>
      <x:c r="X127" s="62"/>
      <x:c r="Y127" s="62"/>
      <x:c r="Z127" s="62"/>
    </x:row>
    <x:row r="128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62"/>
      <x:c r="L128" s="62"/>
      <x:c r="M128" s="62"/>
      <x:c r="N128" s="62"/>
      <x:c r="O128" s="62"/>
      <x:c r="P128" s="62"/>
      <x:c r="Q128" s="62"/>
      <x:c r="R128" s="62"/>
      <x:c r="S128" s="62"/>
      <x:c r="T128" s="62"/>
      <x:c r="U128" s="62"/>
      <x:c r="V128" s="62"/>
      <x:c r="W128" s="62"/>
      <x:c r="X128" s="62"/>
      <x:c r="Y128" s="62"/>
      <x:c r="Z128" s="62"/>
    </x:row>
    <x:row r="129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62"/>
      <x:c r="L129" s="62"/>
      <x:c r="M129" s="62"/>
      <x:c r="N129" s="62"/>
      <x:c r="O129" s="62"/>
      <x:c r="P129" s="62"/>
      <x:c r="Q129" s="62"/>
      <x:c r="R129" s="62"/>
      <x:c r="S129" s="62"/>
      <x:c r="T129" s="62"/>
      <x:c r="U129" s="62"/>
      <x:c r="V129" s="62"/>
      <x:c r="W129" s="62"/>
      <x:c r="X129" s="62"/>
      <x:c r="Y129" s="62"/>
      <x:c r="Z129" s="62"/>
    </x:row>
    <x:row r="130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62"/>
      <x:c r="L130" s="62"/>
      <x:c r="M130" s="62"/>
      <x:c r="N130" s="62"/>
      <x:c r="O130" s="62"/>
      <x:c r="P130" s="62"/>
      <x:c r="Q130" s="62"/>
      <x:c r="R130" s="62"/>
      <x:c r="S130" s="62"/>
      <x:c r="T130" s="62"/>
      <x:c r="U130" s="62"/>
      <x:c r="V130" s="62"/>
      <x:c r="W130" s="62"/>
      <x:c r="X130" s="62"/>
      <x:c r="Y130" s="62"/>
      <x:c r="Z130" s="62"/>
    </x:row>
    <x:row r="13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62"/>
      <x:c r="L131" s="62"/>
      <x:c r="M131" s="62"/>
      <x:c r="N131" s="62"/>
      <x:c r="O131" s="62"/>
      <x:c r="P131" s="62"/>
      <x:c r="Q131" s="62"/>
      <x:c r="R131" s="62"/>
      <x:c r="S131" s="62"/>
      <x:c r="T131" s="62"/>
      <x:c r="U131" s="62"/>
      <x:c r="V131" s="62"/>
      <x:c r="W131" s="62"/>
      <x:c r="X131" s="62"/>
      <x:c r="Y131" s="62"/>
      <x:c r="Z131" s="62"/>
    </x:row>
    <x:row r="132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62"/>
      <x:c r="L132" s="62"/>
      <x:c r="M132" s="62"/>
      <x:c r="N132" s="62"/>
      <x:c r="O132" s="62"/>
      <x:c r="P132" s="62"/>
      <x:c r="Q132" s="62"/>
      <x:c r="R132" s="62"/>
      <x:c r="S132" s="62"/>
      <x:c r="T132" s="62"/>
      <x:c r="U132" s="62"/>
      <x:c r="V132" s="62"/>
      <x:c r="W132" s="62"/>
      <x:c r="X132" s="62"/>
      <x:c r="Y132" s="62"/>
      <x:c r="Z132" s="62"/>
    </x:row>
    <x:row r="133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62"/>
      <x:c r="L133" s="62"/>
      <x:c r="M133" s="62"/>
      <x:c r="N133" s="62"/>
      <x:c r="O133" s="62"/>
      <x:c r="P133" s="62"/>
      <x:c r="Q133" s="62"/>
      <x:c r="R133" s="62"/>
      <x:c r="S133" s="62"/>
      <x:c r="T133" s="62"/>
      <x:c r="U133" s="62"/>
      <x:c r="V133" s="62"/>
      <x:c r="W133" s="62"/>
      <x:c r="X133" s="62"/>
      <x:c r="Y133" s="62"/>
      <x:c r="Z133" s="62"/>
    </x:row>
    <x:row r="134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62"/>
      <x:c r="L134" s="62"/>
      <x:c r="M134" s="62"/>
      <x:c r="N134" s="62"/>
      <x:c r="O134" s="62"/>
      <x:c r="P134" s="62"/>
      <x:c r="Q134" s="62"/>
      <x:c r="R134" s="62"/>
      <x:c r="S134" s="62"/>
      <x:c r="T134" s="62"/>
      <x:c r="U134" s="62"/>
      <x:c r="V134" s="62"/>
      <x:c r="W134" s="62"/>
      <x:c r="X134" s="62"/>
      <x:c r="Y134" s="62"/>
      <x:c r="Z134" s="62"/>
    </x:row>
    <x:row r="135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62"/>
      <x:c r="L135" s="62"/>
      <x:c r="M135" s="62"/>
      <x:c r="N135" s="62"/>
      <x:c r="O135" s="62"/>
      <x:c r="P135" s="62"/>
      <x:c r="Q135" s="62"/>
      <x:c r="R135" s="62"/>
      <x:c r="S135" s="62"/>
      <x:c r="T135" s="62"/>
      <x:c r="U135" s="62"/>
      <x:c r="V135" s="62"/>
      <x:c r="W135" s="62"/>
      <x:c r="X135" s="62"/>
      <x:c r="Y135" s="62"/>
      <x:c r="Z135" s="62"/>
    </x:row>
    <x:row r="136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62"/>
      <x:c r="L136" s="62"/>
      <x:c r="M136" s="62"/>
      <x:c r="N136" s="62"/>
      <x:c r="O136" s="62"/>
      <x:c r="P136" s="62"/>
      <x:c r="Q136" s="62"/>
      <x:c r="R136" s="62"/>
      <x:c r="S136" s="62"/>
      <x:c r="T136" s="62"/>
      <x:c r="U136" s="62"/>
      <x:c r="V136" s="62"/>
      <x:c r="W136" s="62"/>
      <x:c r="X136" s="62"/>
      <x:c r="Y136" s="62"/>
      <x:c r="Z136" s="62"/>
    </x:row>
    <x:row r="137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62"/>
      <x:c r="L137" s="62"/>
      <x:c r="M137" s="62"/>
      <x:c r="N137" s="62"/>
      <x:c r="O137" s="62"/>
      <x:c r="P137" s="62"/>
      <x:c r="Q137" s="62"/>
      <x:c r="R137" s="62"/>
      <x:c r="S137" s="62"/>
      <x:c r="T137" s="62"/>
      <x:c r="U137" s="62"/>
      <x:c r="V137" s="62"/>
      <x:c r="W137" s="62"/>
      <x:c r="X137" s="62"/>
      <x:c r="Y137" s="62"/>
      <x:c r="Z137" s="62"/>
    </x:row>
    <x:row r="138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62"/>
      <x:c r="L138" s="62"/>
      <x:c r="M138" s="62"/>
      <x:c r="N138" s="62"/>
      <x:c r="O138" s="62"/>
      <x:c r="P138" s="62"/>
      <x:c r="Q138" s="62"/>
      <x:c r="R138" s="62"/>
      <x:c r="S138" s="62"/>
      <x:c r="T138" s="62"/>
      <x:c r="U138" s="62"/>
      <x:c r="V138" s="62"/>
      <x:c r="W138" s="62"/>
      <x:c r="X138" s="62"/>
      <x:c r="Y138" s="62"/>
      <x:c r="Z138" s="62"/>
    </x:row>
    <x:row r="139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62"/>
      <x:c r="L139" s="62"/>
      <x:c r="M139" s="62"/>
      <x:c r="N139" s="62"/>
      <x:c r="O139" s="62"/>
      <x:c r="P139" s="62"/>
      <x:c r="Q139" s="62"/>
      <x:c r="R139" s="62"/>
      <x:c r="S139" s="62"/>
      <x:c r="T139" s="62"/>
      <x:c r="U139" s="62"/>
      <x:c r="V139" s="62"/>
      <x:c r="W139" s="62"/>
      <x:c r="X139" s="62"/>
      <x:c r="Y139" s="62"/>
      <x:c r="Z139" s="62"/>
    </x:row>
    <x:row r="140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62"/>
      <x:c r="L140" s="62"/>
      <x:c r="M140" s="62"/>
      <x:c r="N140" s="62"/>
      <x:c r="O140" s="62"/>
      <x:c r="P140" s="62"/>
      <x:c r="Q140" s="62"/>
      <x:c r="R140" s="62"/>
      <x:c r="S140" s="62"/>
      <x:c r="T140" s="62"/>
      <x:c r="U140" s="62"/>
      <x:c r="V140" s="62"/>
      <x:c r="W140" s="62"/>
      <x:c r="X140" s="62"/>
      <x:c r="Y140" s="62"/>
      <x:c r="Z140" s="62"/>
    </x:row>
    <x:row r="14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62"/>
      <x:c r="L141" s="62"/>
      <x:c r="M141" s="62"/>
      <x:c r="N141" s="62"/>
      <x:c r="O141" s="62"/>
      <x:c r="P141" s="62"/>
      <x:c r="Q141" s="62"/>
      <x:c r="R141" s="62"/>
      <x:c r="S141" s="62"/>
      <x:c r="T141" s="62"/>
      <x:c r="U141" s="62"/>
      <x:c r="V141" s="62"/>
      <x:c r="W141" s="62"/>
      <x:c r="X141" s="62"/>
      <x:c r="Y141" s="62"/>
      <x:c r="Z141" s="62"/>
    </x:row>
    <x:row r="142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62"/>
      <x:c r="L142" s="62"/>
      <x:c r="M142" s="62"/>
      <x:c r="N142" s="62"/>
      <x:c r="O142" s="62"/>
      <x:c r="P142" s="62"/>
      <x:c r="Q142" s="62"/>
      <x:c r="R142" s="62"/>
      <x:c r="S142" s="62"/>
      <x:c r="T142" s="62"/>
      <x:c r="U142" s="62"/>
      <x:c r="V142" s="62"/>
      <x:c r="W142" s="62"/>
      <x:c r="X142" s="62"/>
      <x:c r="Y142" s="62"/>
      <x:c r="Z142" s="62"/>
    </x:row>
    <x:row r="143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62"/>
      <x:c r="L143" s="62"/>
      <x:c r="M143" s="62"/>
      <x:c r="N143" s="62"/>
      <x:c r="O143" s="62"/>
      <x:c r="P143" s="62"/>
      <x:c r="Q143" s="62"/>
      <x:c r="R143" s="62"/>
      <x:c r="S143" s="62"/>
      <x:c r="T143" s="62"/>
      <x:c r="U143" s="62"/>
      <x:c r="V143" s="62"/>
      <x:c r="W143" s="62"/>
      <x:c r="X143" s="62"/>
      <x:c r="Y143" s="62"/>
      <x:c r="Z143" s="62"/>
    </x:row>
    <x:row r="144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62"/>
      <x:c r="L144" s="62"/>
      <x:c r="M144" s="62"/>
      <x:c r="N144" s="62"/>
      <x:c r="O144" s="62"/>
      <x:c r="P144" s="62"/>
      <x:c r="Q144" s="62"/>
      <x:c r="R144" s="62"/>
      <x:c r="S144" s="62"/>
      <x:c r="T144" s="62"/>
      <x:c r="U144" s="62"/>
      <x:c r="V144" s="62"/>
      <x:c r="W144" s="62"/>
      <x:c r="X144" s="62"/>
      <x:c r="Y144" s="62"/>
      <x:c r="Z144" s="62"/>
    </x:row>
    <x:row r="145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62"/>
      <x:c r="L145" s="62"/>
      <x:c r="M145" s="62"/>
      <x:c r="N145" s="62"/>
      <x:c r="O145" s="62"/>
      <x:c r="P145" s="62"/>
      <x:c r="Q145" s="62"/>
      <x:c r="R145" s="62"/>
      <x:c r="S145" s="62"/>
      <x:c r="T145" s="62"/>
      <x:c r="U145" s="62"/>
      <x:c r="V145" s="62"/>
      <x:c r="W145" s="62"/>
      <x:c r="X145" s="62"/>
      <x:c r="Y145" s="62"/>
      <x:c r="Z145" s="62"/>
    </x:row>
    <x:row r="146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62"/>
      <x:c r="L146" s="62"/>
      <x:c r="M146" s="62"/>
      <x:c r="N146" s="62"/>
      <x:c r="O146" s="62"/>
      <x:c r="P146" s="62"/>
      <x:c r="Q146" s="62"/>
      <x:c r="R146" s="62"/>
      <x:c r="S146" s="62"/>
      <x:c r="T146" s="62"/>
      <x:c r="U146" s="62"/>
      <x:c r="V146" s="62"/>
      <x:c r="W146" s="62"/>
      <x:c r="X146" s="62"/>
      <x:c r="Y146" s="62"/>
      <x:c r="Z146" s="62"/>
    </x:row>
    <x:row r="147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62"/>
      <x:c r="L147" s="62"/>
      <x:c r="M147" s="62"/>
      <x:c r="N147" s="62"/>
      <x:c r="O147" s="62"/>
      <x:c r="P147" s="62"/>
      <x:c r="Q147" s="62"/>
      <x:c r="R147" s="62"/>
      <x:c r="S147" s="62"/>
      <x:c r="T147" s="62"/>
      <x:c r="U147" s="62"/>
      <x:c r="V147" s="62"/>
      <x:c r="W147" s="62"/>
      <x:c r="X147" s="62"/>
      <x:c r="Y147" s="62"/>
      <x:c r="Z147" s="62"/>
    </x:row>
    <x:row r="148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62"/>
      <x:c r="L148" s="62"/>
      <x:c r="M148" s="62"/>
      <x:c r="N148" s="62"/>
      <x:c r="O148" s="62"/>
      <x:c r="P148" s="62"/>
      <x:c r="Q148" s="62"/>
      <x:c r="R148" s="62"/>
      <x:c r="S148" s="62"/>
      <x:c r="T148" s="62"/>
      <x:c r="U148" s="62"/>
      <x:c r="V148" s="62"/>
      <x:c r="W148" s="62"/>
      <x:c r="X148" s="62"/>
      <x:c r="Y148" s="62"/>
      <x:c r="Z148" s="62"/>
    </x:row>
    <x:row r="149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62"/>
      <x:c r="L149" s="62"/>
      <x:c r="M149" s="62"/>
      <x:c r="N149" s="62"/>
      <x:c r="O149" s="62"/>
      <x:c r="P149" s="62"/>
      <x:c r="Q149" s="62"/>
      <x:c r="R149" s="62"/>
      <x:c r="S149" s="62"/>
      <x:c r="T149" s="62"/>
      <x:c r="U149" s="62"/>
      <x:c r="V149" s="62"/>
      <x:c r="W149" s="62"/>
      <x:c r="X149" s="62"/>
      <x:c r="Y149" s="62"/>
      <x:c r="Z149" s="62"/>
    </x:row>
    <x:row r="150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62"/>
      <x:c r="L150" s="62"/>
      <x:c r="M150" s="62"/>
      <x:c r="N150" s="62"/>
      <x:c r="O150" s="62"/>
      <x:c r="P150" s="62"/>
      <x:c r="Q150" s="62"/>
      <x:c r="R150" s="62"/>
      <x:c r="S150" s="62"/>
      <x:c r="T150" s="62"/>
      <x:c r="U150" s="62"/>
      <x:c r="V150" s="62"/>
      <x:c r="W150" s="62"/>
      <x:c r="X150" s="62"/>
      <x:c r="Y150" s="62"/>
      <x:c r="Z150" s="62"/>
    </x:row>
    <x:row r="15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62"/>
      <x:c r="L151" s="62"/>
      <x:c r="M151" s="62"/>
      <x:c r="N151" s="62"/>
      <x:c r="O151" s="62"/>
      <x:c r="P151" s="62"/>
      <x:c r="Q151" s="62"/>
      <x:c r="R151" s="62"/>
      <x:c r="S151" s="62"/>
      <x:c r="T151" s="62"/>
      <x:c r="U151" s="62"/>
      <x:c r="V151" s="62"/>
      <x:c r="W151" s="62"/>
      <x:c r="X151" s="62"/>
      <x:c r="Y151" s="62"/>
      <x:c r="Z151" s="62"/>
    </x:row>
    <x:row r="152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62"/>
      <x:c r="L152" s="62"/>
      <x:c r="M152" s="62"/>
      <x:c r="N152" s="62"/>
      <x:c r="O152" s="62"/>
      <x:c r="P152" s="62"/>
      <x:c r="Q152" s="62"/>
      <x:c r="R152" s="62"/>
      <x:c r="S152" s="62"/>
      <x:c r="T152" s="62"/>
      <x:c r="U152" s="62"/>
      <x:c r="V152" s="62"/>
      <x:c r="W152" s="62"/>
      <x:c r="X152" s="62"/>
      <x:c r="Y152" s="62"/>
      <x:c r="Z152" s="62"/>
    </x:row>
    <x:row r="153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62"/>
      <x:c r="L153" s="62"/>
      <x:c r="M153" s="62"/>
      <x:c r="N153" s="62"/>
      <x:c r="O153" s="62"/>
      <x:c r="P153" s="62"/>
      <x:c r="Q153" s="62"/>
      <x:c r="R153" s="62"/>
      <x:c r="S153" s="62"/>
      <x:c r="T153" s="62"/>
      <x:c r="U153" s="62"/>
      <x:c r="V153" s="62"/>
      <x:c r="W153" s="62"/>
      <x:c r="X153" s="62"/>
      <x:c r="Y153" s="62"/>
      <x:c r="Z153" s="62"/>
    </x:row>
    <x:row r="154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62"/>
      <x:c r="L154" s="62"/>
      <x:c r="M154" s="62"/>
      <x:c r="N154" s="62"/>
      <x:c r="O154" s="62"/>
      <x:c r="P154" s="62"/>
      <x:c r="Q154" s="62"/>
      <x:c r="R154" s="62"/>
      <x:c r="S154" s="62"/>
      <x:c r="T154" s="62"/>
      <x:c r="U154" s="62"/>
      <x:c r="V154" s="62"/>
      <x:c r="W154" s="62"/>
      <x:c r="X154" s="62"/>
      <x:c r="Y154" s="62"/>
      <x:c r="Z154" s="62"/>
    </x:row>
    <x:row r="155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62"/>
      <x:c r="L155" s="62"/>
      <x:c r="M155" s="62"/>
      <x:c r="N155" s="62"/>
      <x:c r="O155" s="62"/>
      <x:c r="P155" s="62"/>
      <x:c r="Q155" s="62"/>
      <x:c r="R155" s="62"/>
      <x:c r="S155" s="62"/>
      <x:c r="T155" s="62"/>
      <x:c r="U155" s="62"/>
      <x:c r="V155" s="62"/>
      <x:c r="W155" s="62"/>
      <x:c r="X155" s="62"/>
      <x:c r="Y155" s="62"/>
      <x:c r="Z155" s="62"/>
    </x:row>
    <x:row r="156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62"/>
      <x:c r="L156" s="62"/>
      <x:c r="M156" s="62"/>
      <x:c r="N156" s="62"/>
      <x:c r="O156" s="62"/>
      <x:c r="P156" s="62"/>
      <x:c r="Q156" s="62"/>
      <x:c r="R156" s="62"/>
      <x:c r="S156" s="62"/>
      <x:c r="T156" s="62"/>
      <x:c r="U156" s="62"/>
      <x:c r="V156" s="62"/>
      <x:c r="W156" s="62"/>
      <x:c r="X156" s="62"/>
      <x:c r="Y156" s="62"/>
      <x:c r="Z156" s="62"/>
    </x:row>
    <x:row r="157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62"/>
      <x:c r="L157" s="62"/>
      <x:c r="M157" s="62"/>
      <x:c r="N157" s="62"/>
      <x:c r="O157" s="62"/>
      <x:c r="P157" s="62"/>
      <x:c r="Q157" s="62"/>
      <x:c r="R157" s="62"/>
      <x:c r="S157" s="62"/>
      <x:c r="T157" s="62"/>
      <x:c r="U157" s="62"/>
      <x:c r="V157" s="62"/>
      <x:c r="W157" s="62"/>
      <x:c r="X157" s="62"/>
      <x:c r="Y157" s="62"/>
      <x:c r="Z157" s="62"/>
    </x:row>
    <x:row r="158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62"/>
      <x:c r="L158" s="62"/>
      <x:c r="M158" s="62"/>
      <x:c r="N158" s="62"/>
      <x:c r="O158" s="62"/>
      <x:c r="P158" s="62"/>
      <x:c r="Q158" s="62"/>
      <x:c r="R158" s="62"/>
      <x:c r="S158" s="62"/>
      <x:c r="T158" s="62"/>
      <x:c r="U158" s="62"/>
      <x:c r="V158" s="62"/>
      <x:c r="W158" s="62"/>
      <x:c r="X158" s="62"/>
      <x:c r="Y158" s="62"/>
      <x:c r="Z158" s="62"/>
    </x:row>
    <x:row r="159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62"/>
      <x:c r="L159" s="62"/>
      <x:c r="M159" s="62"/>
      <x:c r="N159" s="62"/>
      <x:c r="O159" s="62"/>
      <x:c r="P159" s="62"/>
      <x:c r="Q159" s="62"/>
      <x:c r="R159" s="62"/>
      <x:c r="S159" s="62"/>
      <x:c r="T159" s="62"/>
      <x:c r="U159" s="62"/>
      <x:c r="V159" s="62"/>
      <x:c r="W159" s="62"/>
      <x:c r="X159" s="62"/>
      <x:c r="Y159" s="62"/>
      <x:c r="Z159" s="62"/>
    </x:row>
    <x:row r="160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62"/>
      <x:c r="L160" s="62"/>
      <x:c r="M160" s="62"/>
      <x:c r="N160" s="62"/>
      <x:c r="O160" s="62"/>
      <x:c r="P160" s="62"/>
      <x:c r="Q160" s="62"/>
      <x:c r="R160" s="62"/>
      <x:c r="S160" s="62"/>
      <x:c r="T160" s="62"/>
      <x:c r="U160" s="62"/>
      <x:c r="V160" s="62"/>
      <x:c r="W160" s="62"/>
      <x:c r="X160" s="62"/>
      <x:c r="Y160" s="62"/>
      <x:c r="Z160" s="62"/>
    </x:row>
    <x:row r="16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62"/>
      <x:c r="L161" s="62"/>
      <x:c r="M161" s="62"/>
      <x:c r="N161" s="62"/>
      <x:c r="O161" s="62"/>
      <x:c r="P161" s="62"/>
      <x:c r="Q161" s="62"/>
      <x:c r="R161" s="62"/>
      <x:c r="S161" s="62"/>
      <x:c r="T161" s="62"/>
      <x:c r="U161" s="62"/>
      <x:c r="V161" s="62"/>
      <x:c r="W161" s="62"/>
      <x:c r="X161" s="62"/>
      <x:c r="Y161" s="62"/>
      <x:c r="Z161" s="62"/>
    </x:row>
    <x:row r="162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62"/>
      <x:c r="L162" s="62"/>
      <x:c r="M162" s="62"/>
      <x:c r="N162" s="62"/>
      <x:c r="O162" s="62"/>
      <x:c r="P162" s="62"/>
      <x:c r="Q162" s="62"/>
      <x:c r="R162" s="62"/>
      <x:c r="S162" s="62"/>
      <x:c r="T162" s="62"/>
      <x:c r="U162" s="62"/>
      <x:c r="V162" s="62"/>
      <x:c r="W162" s="62"/>
      <x:c r="X162" s="62"/>
      <x:c r="Y162" s="62"/>
      <x:c r="Z162" s="62"/>
    </x:row>
    <x:row r="163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62"/>
      <x:c r="L163" s="62"/>
      <x:c r="M163" s="62"/>
      <x:c r="N163" s="62"/>
      <x:c r="O163" s="62"/>
      <x:c r="P163" s="62"/>
      <x:c r="Q163" s="62"/>
      <x:c r="R163" s="62"/>
      <x:c r="S163" s="62"/>
      <x:c r="T163" s="62"/>
      <x:c r="U163" s="62"/>
      <x:c r="V163" s="62"/>
      <x:c r="W163" s="62"/>
      <x:c r="X163" s="62"/>
      <x:c r="Y163" s="62"/>
      <x:c r="Z163" s="62"/>
    </x:row>
    <x:row r="164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62"/>
      <x:c r="L164" s="62"/>
      <x:c r="M164" s="62"/>
      <x:c r="N164" s="62"/>
      <x:c r="O164" s="62"/>
      <x:c r="P164" s="62"/>
      <x:c r="Q164" s="62"/>
      <x:c r="R164" s="62"/>
      <x:c r="S164" s="62"/>
      <x:c r="T164" s="62"/>
      <x:c r="U164" s="62"/>
      <x:c r="V164" s="62"/>
      <x:c r="W164" s="62"/>
      <x:c r="X164" s="62"/>
      <x:c r="Y164" s="62"/>
      <x:c r="Z164" s="62"/>
    </x:row>
    <x:row r="165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62"/>
      <x:c r="L165" s="62"/>
      <x:c r="M165" s="62"/>
      <x:c r="N165" s="62"/>
      <x:c r="O165" s="62"/>
      <x:c r="P165" s="62"/>
      <x:c r="Q165" s="62"/>
      <x:c r="R165" s="62"/>
      <x:c r="S165" s="62"/>
      <x:c r="T165" s="62"/>
      <x:c r="U165" s="62"/>
      <x:c r="V165" s="62"/>
      <x:c r="W165" s="62"/>
      <x:c r="X165" s="62"/>
      <x:c r="Y165" s="62"/>
      <x:c r="Z165" s="62"/>
    </x:row>
    <x:row r="166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62"/>
      <x:c r="L166" s="62"/>
      <x:c r="M166" s="62"/>
      <x:c r="N166" s="62"/>
      <x:c r="O166" s="62"/>
      <x:c r="P166" s="62"/>
      <x:c r="Q166" s="62"/>
      <x:c r="R166" s="62"/>
      <x:c r="S166" s="62"/>
      <x:c r="T166" s="62"/>
      <x:c r="U166" s="62"/>
      <x:c r="V166" s="62"/>
      <x:c r="W166" s="62"/>
      <x:c r="X166" s="62"/>
      <x:c r="Y166" s="62"/>
      <x:c r="Z166" s="62"/>
    </x:row>
    <x:row r="167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62"/>
      <x:c r="L167" s="62"/>
      <x:c r="M167" s="62"/>
      <x:c r="N167" s="62"/>
      <x:c r="O167" s="62"/>
      <x:c r="P167" s="62"/>
      <x:c r="Q167" s="62"/>
      <x:c r="R167" s="62"/>
      <x:c r="S167" s="62"/>
      <x:c r="T167" s="62"/>
      <x:c r="U167" s="62"/>
      <x:c r="V167" s="62"/>
      <x:c r="W167" s="62"/>
      <x:c r="X167" s="62"/>
      <x:c r="Y167" s="62"/>
      <x:c r="Z167" s="62"/>
    </x:row>
    <x:row r="168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62"/>
      <x:c r="L168" s="62"/>
      <x:c r="M168" s="62"/>
      <x:c r="N168" s="62"/>
      <x:c r="O168" s="62"/>
      <x:c r="P168" s="62"/>
      <x:c r="Q168" s="62"/>
      <x:c r="R168" s="62"/>
      <x:c r="S168" s="62"/>
      <x:c r="T168" s="62"/>
      <x:c r="U168" s="62"/>
      <x:c r="V168" s="62"/>
      <x:c r="W168" s="62"/>
      <x:c r="X168" s="62"/>
      <x:c r="Y168" s="62"/>
      <x:c r="Z168" s="62"/>
    </x:row>
    <x:row r="169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62"/>
      <x:c r="L169" s="62"/>
      <x:c r="M169" s="62"/>
      <x:c r="N169" s="62"/>
      <x:c r="O169" s="62"/>
      <x:c r="P169" s="62"/>
      <x:c r="Q169" s="62"/>
      <x:c r="R169" s="62"/>
      <x:c r="S169" s="62"/>
      <x:c r="T169" s="62"/>
      <x:c r="U169" s="62"/>
      <x:c r="V169" s="62"/>
      <x:c r="W169" s="62"/>
      <x:c r="X169" s="62"/>
      <x:c r="Y169" s="62"/>
      <x:c r="Z169" s="62"/>
    </x:row>
    <x:row r="170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62"/>
      <x:c r="L170" s="62"/>
      <x:c r="M170" s="62"/>
      <x:c r="N170" s="62"/>
      <x:c r="O170" s="62"/>
      <x:c r="P170" s="62"/>
      <x:c r="Q170" s="62"/>
      <x:c r="R170" s="62"/>
      <x:c r="S170" s="62"/>
      <x:c r="T170" s="62"/>
      <x:c r="U170" s="62"/>
      <x:c r="V170" s="62"/>
      <x:c r="W170" s="62"/>
      <x:c r="X170" s="62"/>
      <x:c r="Y170" s="62"/>
      <x:c r="Z170" s="62"/>
    </x:row>
    <x:row r="17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62"/>
      <x:c r="L171" s="62"/>
      <x:c r="M171" s="62"/>
      <x:c r="N171" s="62"/>
      <x:c r="O171" s="62"/>
      <x:c r="P171" s="62"/>
      <x:c r="Q171" s="62"/>
      <x:c r="R171" s="62"/>
      <x:c r="S171" s="62"/>
      <x:c r="T171" s="62"/>
      <x:c r="U171" s="62"/>
      <x:c r="V171" s="62"/>
      <x:c r="W171" s="62"/>
      <x:c r="X171" s="62"/>
      <x:c r="Y171" s="62"/>
      <x:c r="Z171" s="62"/>
    </x:row>
    <x:row r="172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62"/>
      <x:c r="L172" s="62"/>
      <x:c r="M172" s="62"/>
      <x:c r="N172" s="62"/>
      <x:c r="O172" s="62"/>
      <x:c r="P172" s="62"/>
      <x:c r="Q172" s="62"/>
      <x:c r="R172" s="62"/>
      <x:c r="S172" s="62"/>
      <x:c r="T172" s="62"/>
      <x:c r="U172" s="62"/>
      <x:c r="V172" s="62"/>
      <x:c r="W172" s="62"/>
      <x:c r="X172" s="62"/>
      <x:c r="Y172" s="62"/>
      <x:c r="Z172" s="62"/>
    </x:row>
    <x:row r="173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62"/>
      <x:c r="L173" s="62"/>
      <x:c r="M173" s="62"/>
      <x:c r="N173" s="62"/>
      <x:c r="O173" s="62"/>
      <x:c r="P173" s="62"/>
      <x:c r="Q173" s="62"/>
      <x:c r="R173" s="62"/>
      <x:c r="S173" s="62"/>
      <x:c r="T173" s="62"/>
      <x:c r="U173" s="62"/>
      <x:c r="V173" s="62"/>
      <x:c r="W173" s="62"/>
      <x:c r="X173" s="62"/>
      <x:c r="Y173" s="62"/>
      <x:c r="Z173" s="62"/>
    </x:row>
    <x:row r="174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62"/>
      <x:c r="L174" s="62"/>
      <x:c r="M174" s="62"/>
      <x:c r="N174" s="62"/>
      <x:c r="O174" s="62"/>
      <x:c r="P174" s="62"/>
      <x:c r="Q174" s="62"/>
      <x:c r="R174" s="62"/>
      <x:c r="S174" s="62"/>
      <x:c r="T174" s="62"/>
      <x:c r="U174" s="62"/>
      <x:c r="V174" s="62"/>
      <x:c r="W174" s="62"/>
      <x:c r="X174" s="62"/>
      <x:c r="Y174" s="62"/>
      <x:c r="Z174" s="62"/>
    </x:row>
    <x:row r="175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62"/>
      <x:c r="L175" s="62"/>
      <x:c r="M175" s="62"/>
      <x:c r="N175" s="62"/>
      <x:c r="O175" s="62"/>
      <x:c r="P175" s="62"/>
      <x:c r="Q175" s="62"/>
      <x:c r="R175" s="62"/>
      <x:c r="S175" s="62"/>
      <x:c r="T175" s="62"/>
      <x:c r="U175" s="62"/>
      <x:c r="V175" s="62"/>
      <x:c r="W175" s="62"/>
      <x:c r="X175" s="62"/>
      <x:c r="Y175" s="62"/>
      <x:c r="Z175" s="62"/>
    </x:row>
    <x:row r="176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62"/>
      <x:c r="L176" s="62"/>
      <x:c r="M176" s="62"/>
      <x:c r="N176" s="62"/>
      <x:c r="O176" s="62"/>
      <x:c r="P176" s="62"/>
      <x:c r="Q176" s="62"/>
      <x:c r="R176" s="62"/>
      <x:c r="S176" s="62"/>
      <x:c r="T176" s="62"/>
      <x:c r="U176" s="62"/>
      <x:c r="V176" s="62"/>
      <x:c r="W176" s="62"/>
      <x:c r="X176" s="62"/>
      <x:c r="Y176" s="62"/>
      <x:c r="Z176" s="62"/>
    </x:row>
    <x:row r="177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62"/>
      <x:c r="L177" s="62"/>
      <x:c r="M177" s="62"/>
      <x:c r="N177" s="62"/>
      <x:c r="O177" s="62"/>
      <x:c r="P177" s="62"/>
      <x:c r="Q177" s="62"/>
      <x:c r="R177" s="62"/>
      <x:c r="S177" s="62"/>
      <x:c r="T177" s="62"/>
      <x:c r="U177" s="62"/>
      <x:c r="V177" s="62"/>
      <x:c r="W177" s="62"/>
      <x:c r="X177" s="62"/>
      <x:c r="Y177" s="62"/>
      <x:c r="Z177" s="62"/>
    </x:row>
    <x:row r="178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62"/>
      <x:c r="L178" s="62"/>
      <x:c r="M178" s="62"/>
      <x:c r="N178" s="62"/>
      <x:c r="O178" s="62"/>
      <x:c r="P178" s="62"/>
      <x:c r="Q178" s="62"/>
      <x:c r="R178" s="62"/>
      <x:c r="S178" s="62"/>
      <x:c r="T178" s="62"/>
      <x:c r="U178" s="62"/>
      <x:c r="V178" s="62"/>
      <x:c r="W178" s="62"/>
      <x:c r="X178" s="62"/>
      <x:c r="Y178" s="62"/>
      <x:c r="Z178" s="62"/>
    </x:row>
    <x:row r="179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62"/>
      <x:c r="L179" s="62"/>
      <x:c r="M179" s="62"/>
      <x:c r="N179" s="62"/>
      <x:c r="O179" s="62"/>
      <x:c r="P179" s="62"/>
      <x:c r="Q179" s="62"/>
      <x:c r="R179" s="62"/>
      <x:c r="S179" s="62"/>
      <x:c r="T179" s="62"/>
      <x:c r="U179" s="62"/>
      <x:c r="V179" s="62"/>
      <x:c r="W179" s="62"/>
      <x:c r="X179" s="62"/>
      <x:c r="Y179" s="62"/>
      <x:c r="Z179" s="62"/>
    </x:row>
    <x:row r="180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  <x:c r="L180" s="62"/>
      <x:c r="M180" s="62"/>
      <x:c r="N180" s="62"/>
      <x:c r="O180" s="62"/>
      <x:c r="P180" s="62"/>
      <x:c r="Q180" s="62"/>
      <x:c r="R180" s="62"/>
      <x:c r="S180" s="62"/>
      <x:c r="T180" s="62"/>
      <x:c r="U180" s="62"/>
      <x:c r="V180" s="62"/>
      <x:c r="W180" s="62"/>
      <x:c r="X180" s="62"/>
      <x:c r="Y180" s="62"/>
      <x:c r="Z180" s="62"/>
    </x:row>
    <x:row r="18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  <x:c r="K181" s="62"/>
      <x:c r="L181" s="62"/>
      <x:c r="M181" s="62"/>
      <x:c r="N181" s="62"/>
      <x:c r="O181" s="62"/>
      <x:c r="P181" s="62"/>
      <x:c r="Q181" s="62"/>
      <x:c r="R181" s="62"/>
      <x:c r="S181" s="62"/>
      <x:c r="T181" s="62"/>
      <x:c r="U181" s="62"/>
      <x:c r="V181" s="62"/>
      <x:c r="W181" s="62"/>
      <x:c r="X181" s="62"/>
      <x:c r="Y181" s="62"/>
      <x:c r="Z181" s="62"/>
    </x:row>
    <x:row r="182">
      <x:c r="A182" s="62"/>
      <x:c r="B182" s="62"/>
      <x:c r="C182" s="62"/>
      <x:c r="D182" s="62"/>
      <x:c r="E182" s="62"/>
      <x:c r="F182" s="62"/>
      <x:c r="G182" s="62"/>
      <x:c r="H182" s="62"/>
      <x:c r="I182" s="62"/>
      <x:c r="J182" s="62"/>
      <x:c r="K182" s="62"/>
      <x:c r="L182" s="62"/>
      <x:c r="M182" s="62"/>
      <x:c r="N182" s="62"/>
      <x:c r="O182" s="62"/>
      <x:c r="P182" s="62"/>
      <x:c r="Q182" s="62"/>
      <x:c r="R182" s="62"/>
      <x:c r="S182" s="62"/>
      <x:c r="T182" s="62"/>
      <x:c r="U182" s="62"/>
      <x:c r="V182" s="62"/>
      <x:c r="W182" s="62"/>
      <x:c r="X182" s="62"/>
      <x:c r="Y182" s="62"/>
      <x:c r="Z182" s="62"/>
    </x:row>
    <x:row r="183">
      <x:c r="A183" s="62"/>
      <x:c r="B183" s="62"/>
      <x:c r="C183" s="62"/>
      <x:c r="D183" s="62"/>
      <x:c r="E183" s="62"/>
      <x:c r="F183" s="62"/>
      <x:c r="G183" s="62"/>
      <x:c r="H183" s="62"/>
      <x:c r="I183" s="62"/>
      <x:c r="J183" s="62"/>
      <x:c r="K183" s="62"/>
      <x:c r="L183" s="62"/>
      <x:c r="M183" s="62"/>
      <x:c r="N183" s="62"/>
      <x:c r="O183" s="62"/>
      <x:c r="P183" s="62"/>
      <x:c r="Q183" s="62"/>
      <x:c r="R183" s="62"/>
      <x:c r="S183" s="62"/>
      <x:c r="T183" s="62"/>
      <x:c r="U183" s="62"/>
      <x:c r="V183" s="62"/>
      <x:c r="W183" s="62"/>
      <x:c r="X183" s="62"/>
      <x:c r="Y183" s="62"/>
      <x:c r="Z183" s="62"/>
    </x:row>
    <x:row r="184">
      <x:c r="A184" s="62"/>
      <x:c r="B184" s="62"/>
      <x:c r="C184" s="62"/>
      <x:c r="D184" s="62"/>
      <x:c r="E184" s="62"/>
      <x:c r="F184" s="62"/>
      <x:c r="G184" s="62"/>
      <x:c r="H184" s="62"/>
      <x:c r="I184" s="62"/>
      <x:c r="J184" s="62"/>
      <x:c r="K184" s="62"/>
      <x:c r="L184" s="62"/>
      <x:c r="M184" s="62"/>
      <x:c r="N184" s="62"/>
      <x:c r="O184" s="62"/>
      <x:c r="P184" s="62"/>
      <x:c r="Q184" s="62"/>
      <x:c r="R184" s="62"/>
      <x:c r="S184" s="62"/>
      <x:c r="T184" s="62"/>
      <x:c r="U184" s="62"/>
      <x:c r="V184" s="62"/>
      <x:c r="W184" s="62"/>
      <x:c r="X184" s="62"/>
      <x:c r="Y184" s="62"/>
      <x:c r="Z184" s="62"/>
    </x:row>
    <x:row r="185">
      <x:c r="A185" s="62"/>
      <x:c r="B185" s="62"/>
      <x:c r="C185" s="62"/>
      <x:c r="D185" s="62"/>
      <x:c r="E185" s="62"/>
      <x:c r="F185" s="62"/>
      <x:c r="G185" s="62"/>
      <x:c r="H185" s="62"/>
      <x:c r="I185" s="62"/>
      <x:c r="J185" s="62"/>
      <x:c r="K185" s="62"/>
      <x:c r="L185" s="62"/>
      <x:c r="M185" s="62"/>
      <x:c r="N185" s="62"/>
      <x:c r="O185" s="62"/>
      <x:c r="P185" s="62"/>
      <x:c r="Q185" s="62"/>
      <x:c r="R185" s="62"/>
      <x:c r="S185" s="62"/>
      <x:c r="T185" s="62"/>
      <x:c r="U185" s="62"/>
      <x:c r="V185" s="62"/>
      <x:c r="W185" s="62"/>
      <x:c r="X185" s="62"/>
      <x:c r="Y185" s="62"/>
      <x:c r="Z185" s="62"/>
    </x:row>
    <x:row r="186">
      <x:c r="A186" s="62"/>
      <x:c r="B186" s="62"/>
      <x:c r="C186" s="62"/>
      <x:c r="D186" s="62"/>
      <x:c r="E186" s="62"/>
      <x:c r="F186" s="62"/>
      <x:c r="G186" s="62"/>
      <x:c r="H186" s="62"/>
      <x:c r="I186" s="62"/>
      <x:c r="J186" s="62"/>
      <x:c r="K186" s="62"/>
      <x:c r="L186" s="62"/>
      <x:c r="M186" s="62"/>
      <x:c r="N186" s="62"/>
      <x:c r="O186" s="62"/>
      <x:c r="P186" s="62"/>
      <x:c r="Q186" s="62"/>
      <x:c r="R186" s="62"/>
      <x:c r="S186" s="62"/>
      <x:c r="T186" s="62"/>
      <x:c r="U186" s="62"/>
      <x:c r="V186" s="62"/>
      <x:c r="W186" s="62"/>
      <x:c r="X186" s="62"/>
      <x:c r="Y186" s="62"/>
      <x:c r="Z186" s="62"/>
    </x:row>
    <x:row r="187">
      <x:c r="A187" s="62"/>
      <x:c r="B187" s="62"/>
      <x:c r="C187" s="62"/>
      <x:c r="D187" s="62"/>
      <x:c r="E187" s="62"/>
      <x:c r="F187" s="62"/>
      <x:c r="G187" s="62"/>
      <x:c r="H187" s="62"/>
      <x:c r="I187" s="62"/>
      <x:c r="J187" s="62"/>
      <x:c r="K187" s="62"/>
      <x:c r="L187" s="62"/>
      <x:c r="M187" s="62"/>
      <x:c r="N187" s="62"/>
      <x:c r="O187" s="62"/>
      <x:c r="P187" s="62"/>
      <x:c r="Q187" s="62"/>
      <x:c r="R187" s="62"/>
      <x:c r="S187" s="62"/>
      <x:c r="T187" s="62"/>
      <x:c r="U187" s="62"/>
      <x:c r="V187" s="62"/>
      <x:c r="W187" s="62"/>
      <x:c r="X187" s="62"/>
      <x:c r="Y187" s="62"/>
      <x:c r="Z187" s="62"/>
    </x:row>
    <x:row r="188">
      <x:c r="A188" s="62"/>
      <x:c r="B188" s="62"/>
      <x:c r="C188" s="62"/>
      <x:c r="D188" s="62"/>
      <x:c r="E188" s="62"/>
      <x:c r="F188" s="62"/>
      <x:c r="G188" s="62"/>
      <x:c r="H188" s="62"/>
      <x:c r="I188" s="62"/>
      <x:c r="J188" s="62"/>
      <x:c r="K188" s="62"/>
      <x:c r="L188" s="62"/>
      <x:c r="M188" s="62"/>
      <x:c r="N188" s="62"/>
      <x:c r="O188" s="62"/>
      <x:c r="P188" s="62"/>
      <x:c r="Q188" s="62"/>
      <x:c r="R188" s="62"/>
      <x:c r="S188" s="62"/>
      <x:c r="T188" s="62"/>
      <x:c r="U188" s="62"/>
      <x:c r="V188" s="62"/>
      <x:c r="W188" s="62"/>
      <x:c r="X188" s="62"/>
      <x:c r="Y188" s="62"/>
      <x:c r="Z188" s="62"/>
    </x:row>
    <x:row r="189">
      <x:c r="A189" s="62"/>
      <x:c r="B189" s="62"/>
      <x:c r="C189" s="62"/>
      <x:c r="D189" s="62"/>
      <x:c r="E189" s="62"/>
      <x:c r="F189" s="62"/>
      <x:c r="G189" s="62"/>
      <x:c r="H189" s="62"/>
      <x:c r="I189" s="62"/>
      <x:c r="J189" s="62"/>
      <x:c r="K189" s="62"/>
      <x:c r="L189" s="62"/>
      <x:c r="M189" s="62"/>
      <x:c r="N189" s="62"/>
      <x:c r="O189" s="62"/>
      <x:c r="P189" s="62"/>
      <x:c r="Q189" s="62"/>
      <x:c r="R189" s="62"/>
      <x:c r="S189" s="62"/>
      <x:c r="T189" s="62"/>
      <x:c r="U189" s="62"/>
      <x:c r="V189" s="62"/>
      <x:c r="W189" s="62"/>
      <x:c r="X189" s="62"/>
      <x:c r="Y189" s="62"/>
      <x:c r="Z189" s="62"/>
    </x:row>
    <x:row r="190">
      <x:c r="A190" s="62"/>
      <x:c r="B190" s="62"/>
      <x:c r="C190" s="62"/>
      <x:c r="D190" s="62"/>
      <x:c r="E190" s="62"/>
      <x:c r="F190" s="62"/>
      <x:c r="G190" s="62"/>
      <x:c r="H190" s="62"/>
      <x:c r="I190" s="62"/>
      <x:c r="J190" s="62"/>
      <x:c r="K190" s="62"/>
      <x:c r="L190" s="62"/>
      <x:c r="M190" s="62"/>
      <x:c r="N190" s="62"/>
      <x:c r="O190" s="62"/>
      <x:c r="P190" s="62"/>
      <x:c r="Q190" s="62"/>
      <x:c r="R190" s="62"/>
      <x:c r="S190" s="62"/>
      <x:c r="T190" s="62"/>
      <x:c r="U190" s="62"/>
      <x:c r="V190" s="62"/>
      <x:c r="W190" s="62"/>
      <x:c r="X190" s="62"/>
      <x:c r="Y190" s="62"/>
      <x:c r="Z190" s="62"/>
    </x:row>
    <x:row r="191">
      <x:c r="A191" s="62"/>
      <x:c r="B191" s="62"/>
      <x:c r="C191" s="62"/>
      <x:c r="D191" s="62"/>
      <x:c r="E191" s="62"/>
      <x:c r="F191" s="62"/>
      <x:c r="G191" s="62"/>
      <x:c r="H191" s="62"/>
      <x:c r="I191" s="62"/>
      <x:c r="J191" s="62"/>
      <x:c r="K191" s="62"/>
      <x:c r="L191" s="62"/>
      <x:c r="M191" s="62"/>
      <x:c r="N191" s="62"/>
      <x:c r="O191" s="62"/>
      <x:c r="P191" s="62"/>
      <x:c r="Q191" s="62"/>
      <x:c r="R191" s="62"/>
      <x:c r="S191" s="62"/>
      <x:c r="T191" s="62"/>
      <x:c r="U191" s="62"/>
      <x:c r="V191" s="62"/>
      <x:c r="W191" s="62"/>
      <x:c r="X191" s="62"/>
      <x:c r="Y191" s="62"/>
      <x:c r="Z191" s="62"/>
    </x:row>
    <x:row r="192">
      <x:c r="A192" s="62"/>
      <x:c r="B192" s="62"/>
      <x:c r="C192" s="62"/>
      <x:c r="D192" s="62"/>
      <x:c r="E192" s="62"/>
      <x:c r="F192" s="62"/>
      <x:c r="G192" s="62"/>
      <x:c r="H192" s="62"/>
      <x:c r="I192" s="62"/>
      <x:c r="J192" s="62"/>
      <x:c r="K192" s="62"/>
      <x:c r="L192" s="62"/>
      <x:c r="M192" s="62"/>
      <x:c r="N192" s="62"/>
      <x:c r="O192" s="62"/>
      <x:c r="P192" s="62"/>
      <x:c r="Q192" s="62"/>
      <x:c r="R192" s="62"/>
      <x:c r="S192" s="62"/>
      <x:c r="T192" s="62"/>
      <x:c r="U192" s="62"/>
      <x:c r="V192" s="62"/>
      <x:c r="W192" s="62"/>
      <x:c r="X192" s="62"/>
      <x:c r="Y192" s="62"/>
      <x:c r="Z192" s="62"/>
    </x:row>
    <x:row r="193">
      <x:c r="A193" s="62"/>
      <x:c r="B193" s="62"/>
      <x:c r="C193" s="62"/>
      <x:c r="D193" s="62"/>
      <x:c r="E193" s="62"/>
      <x:c r="F193" s="62"/>
      <x:c r="G193" s="62"/>
      <x:c r="H193" s="62"/>
      <x:c r="I193" s="62"/>
      <x:c r="J193" s="62"/>
      <x:c r="K193" s="62"/>
      <x:c r="L193" s="62"/>
      <x:c r="M193" s="62"/>
      <x:c r="N193" s="62"/>
      <x:c r="O193" s="62"/>
      <x:c r="P193" s="62"/>
      <x:c r="Q193" s="62"/>
      <x:c r="R193" s="62"/>
      <x:c r="S193" s="62"/>
      <x:c r="T193" s="62"/>
      <x:c r="U193" s="62"/>
      <x:c r="V193" s="62"/>
      <x:c r="W193" s="62"/>
      <x:c r="X193" s="62"/>
      <x:c r="Y193" s="62"/>
      <x:c r="Z193" s="62"/>
    </x:row>
    <x:row r="194">
      <x:c r="A194" s="62"/>
      <x:c r="B194" s="62"/>
      <x:c r="C194" s="62"/>
      <x:c r="D194" s="62"/>
      <x:c r="E194" s="62"/>
      <x:c r="F194" s="62"/>
      <x:c r="G194" s="62"/>
      <x:c r="H194" s="62"/>
      <x:c r="I194" s="62"/>
      <x:c r="J194" s="62"/>
      <x:c r="K194" s="62"/>
      <x:c r="L194" s="62"/>
      <x:c r="M194" s="62"/>
      <x:c r="N194" s="62"/>
      <x:c r="O194" s="62"/>
      <x:c r="P194" s="62"/>
      <x:c r="Q194" s="62"/>
      <x:c r="R194" s="62"/>
      <x:c r="S194" s="62"/>
      <x:c r="T194" s="62"/>
      <x:c r="U194" s="62"/>
      <x:c r="V194" s="62"/>
      <x:c r="W194" s="62"/>
      <x:c r="X194" s="62"/>
      <x:c r="Y194" s="62"/>
      <x:c r="Z194" s="62"/>
    </x:row>
    <x:row r="195">
      <x:c r="A195" s="62"/>
      <x:c r="B195" s="62"/>
      <x:c r="C195" s="62"/>
      <x:c r="D195" s="62"/>
      <x:c r="E195" s="62"/>
      <x:c r="F195" s="62"/>
      <x:c r="G195" s="62"/>
      <x:c r="H195" s="62"/>
      <x:c r="I195" s="62"/>
      <x:c r="J195" s="62"/>
      <x:c r="K195" s="62"/>
      <x:c r="L195" s="62"/>
      <x:c r="M195" s="62"/>
      <x:c r="N195" s="62"/>
      <x:c r="O195" s="62"/>
      <x:c r="P195" s="62"/>
      <x:c r="Q195" s="62"/>
      <x:c r="R195" s="62"/>
      <x:c r="S195" s="62"/>
      <x:c r="T195" s="62"/>
      <x:c r="U195" s="62"/>
      <x:c r="V195" s="62"/>
      <x:c r="W195" s="62"/>
      <x:c r="X195" s="62"/>
      <x:c r="Y195" s="62"/>
      <x:c r="Z195" s="62"/>
    </x:row>
    <x:row r="196">
      <x:c r="A196" s="62"/>
      <x:c r="B196" s="62"/>
      <x:c r="C196" s="62"/>
      <x:c r="D196" s="62"/>
      <x:c r="E196" s="62"/>
      <x:c r="F196" s="62"/>
      <x:c r="G196" s="62"/>
      <x:c r="H196" s="62"/>
      <x:c r="I196" s="62"/>
      <x:c r="J196" s="62"/>
      <x:c r="K196" s="62"/>
      <x:c r="L196" s="62"/>
      <x:c r="M196" s="62"/>
      <x:c r="N196" s="62"/>
      <x:c r="O196" s="62"/>
      <x:c r="P196" s="62"/>
      <x:c r="Q196" s="62"/>
      <x:c r="R196" s="62"/>
      <x:c r="S196" s="62"/>
      <x:c r="T196" s="62"/>
      <x:c r="U196" s="62"/>
      <x:c r="V196" s="62"/>
      <x:c r="W196" s="62"/>
      <x:c r="X196" s="62"/>
      <x:c r="Y196" s="62"/>
      <x:c r="Z196" s="62"/>
    </x:row>
    <x:row r="197">
      <x:c r="A197" s="62"/>
      <x:c r="B197" s="62"/>
      <x:c r="C197" s="62"/>
      <x:c r="D197" s="62"/>
      <x:c r="E197" s="62"/>
      <x:c r="F197" s="62"/>
      <x:c r="G197" s="62"/>
      <x:c r="H197" s="62"/>
      <x:c r="I197" s="62"/>
      <x:c r="J197" s="62"/>
      <x:c r="K197" s="62"/>
      <x:c r="L197" s="62"/>
      <x:c r="M197" s="62"/>
      <x:c r="N197" s="62"/>
      <x:c r="O197" s="62"/>
      <x:c r="P197" s="62"/>
      <x:c r="Q197" s="62"/>
      <x:c r="R197" s="62"/>
      <x:c r="S197" s="62"/>
      <x:c r="T197" s="62"/>
      <x:c r="U197" s="62"/>
      <x:c r="V197" s="62"/>
      <x:c r="W197" s="62"/>
      <x:c r="X197" s="62"/>
      <x:c r="Y197" s="62"/>
      <x:c r="Z197" s="62"/>
    </x:row>
    <x:row r="198">
      <x:c r="A198" s="62"/>
      <x:c r="B198" s="62"/>
      <x:c r="C198" s="62"/>
      <x:c r="D198" s="62"/>
      <x:c r="E198" s="62"/>
      <x:c r="F198" s="62"/>
      <x:c r="G198" s="62"/>
      <x:c r="H198" s="62"/>
      <x:c r="I198" s="62"/>
      <x:c r="J198" s="62"/>
      <x:c r="K198" s="62"/>
      <x:c r="L198" s="62"/>
      <x:c r="M198" s="62"/>
      <x:c r="N198" s="62"/>
      <x:c r="O198" s="62"/>
      <x:c r="P198" s="62"/>
      <x:c r="Q198" s="62"/>
      <x:c r="R198" s="62"/>
      <x:c r="S198" s="62"/>
      <x:c r="T198" s="62"/>
      <x:c r="U198" s="62"/>
      <x:c r="V198" s="62"/>
      <x:c r="W198" s="62"/>
      <x:c r="X198" s="62"/>
      <x:c r="Y198" s="62"/>
      <x:c r="Z198" s="62"/>
    </x:row>
    <x:row r="199">
      <x:c r="A199" s="62"/>
      <x:c r="B199" s="62"/>
      <x:c r="C199" s="62"/>
      <x:c r="D199" s="62"/>
      <x:c r="E199" s="62"/>
      <x:c r="F199" s="62"/>
      <x:c r="G199" s="62"/>
      <x:c r="H199" s="62"/>
      <x:c r="I199" s="62"/>
      <x:c r="J199" s="62"/>
      <x:c r="K199" s="62"/>
      <x:c r="L199" s="62"/>
      <x:c r="M199" s="62"/>
      <x:c r="N199" s="62"/>
      <x:c r="O199" s="62"/>
      <x:c r="P199" s="62"/>
      <x:c r="Q199" s="62"/>
      <x:c r="R199" s="62"/>
      <x:c r="S199" s="62"/>
      <x:c r="T199" s="62"/>
      <x:c r="U199" s="62"/>
      <x:c r="V199" s="62"/>
      <x:c r="W199" s="62"/>
      <x:c r="X199" s="62"/>
      <x:c r="Y199" s="62"/>
      <x:c r="Z199" s="62"/>
    </x:row>
    <x:row r="200">
      <x:c r="A200" s="62"/>
      <x:c r="B200" s="62"/>
      <x:c r="C200" s="62"/>
      <x:c r="D200" s="62"/>
      <x:c r="E200" s="62"/>
      <x:c r="F200" s="62"/>
      <x:c r="G200" s="62"/>
      <x:c r="H200" s="62"/>
      <x:c r="I200" s="62"/>
      <x:c r="J200" s="62"/>
      <x:c r="K200" s="62"/>
      <x:c r="L200" s="62"/>
      <x:c r="M200" s="62"/>
      <x:c r="N200" s="62"/>
      <x:c r="O200" s="62"/>
      <x:c r="P200" s="62"/>
      <x:c r="Q200" s="62"/>
      <x:c r="R200" s="62"/>
      <x:c r="S200" s="62"/>
      <x:c r="T200" s="62"/>
      <x:c r="U200" s="62"/>
      <x:c r="V200" s="62"/>
      <x:c r="W200" s="62"/>
      <x:c r="X200" s="62"/>
      <x:c r="Y200" s="62"/>
      <x:c r="Z200" s="62"/>
    </x:row>
  </x:sheetData>
  <x:mergeCells>
    <x:mergeCell ref="A1:H1"/>
    <x:mergeCell ref="A27:H27"/>
  </x:mergeCells>
  <x:pageMargins left="0.7" right="0.7" top="0.75" bottom="0.75" header="0.3" footer="0.3"/>
  <x:drawing xmlns:r="http://schemas.openxmlformats.org/officeDocument/2006/relationships" r:id="R7024763d0a114e85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4" max="4" width="42" hidden="0" customWidth="1"/>
    <x:col min="5" max="5" width="42" hidden="0" customWidth="1"/>
  </x:cols>
  <x:sheetData>
    <x:row r="1">
      <x:c r="A1" s="71" t="str">
        <x:v>Estado</x:v>
      </x:c>
      <x:c r="B1" s="71" t="str">
        <x:v>Responsable</x:v>
      </x:c>
      <x:c r="C1" s="62"/>
      <x:c r="D1" s="71" t="str">
        <x:v>Fuente base</x:v>
      </x:c>
      <x:c r="E1" s="71" t="str">
        <x:v>Detalle</x:v>
      </x:c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 t="str">
        <x:v>Completado</x:v>
      </x:c>
      <x:c r="B2" s="62" t="str">
        <x:v>Equipo</x:v>
      </x:c>
      <x:c r="C2" s="62"/>
      <x:c r="D2" s="72" t="str">
        <x:v>INFORME_FINAL.pdf</x:v>
      </x:c>
      <x:c r="E2" s="72" t="str">
        <x:v>Contenido técnico del proyecto ConstruFácil: microservicios, despliegue, pruebas, mejoras y estado final.</x:v>
      </x:c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62" t="str">
        <x:v>En progreso</x:v>
      </x:c>
      <x:c r="B3" s="62" t="str">
        <x:v>Consuelo</x:v>
      </x:c>
      <x:c r="C3" s="62"/>
      <x:c r="D3" s="72" t="str">
        <x:v>Pauta evaluación final</x:v>
      </x:c>
      <x:c r="E3" s="72" t="str">
        <x:v>Solicita planificación de actividades, tareas y responsabilidades, además de documentación y presentación final.</x:v>
      </x:c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En revisión</x:v>
      </x:c>
      <x:c r="B4" s="62" t="str">
        <x:v>Cristóbal</x:v>
      </x:c>
      <x:c r="C4" s="62"/>
      <x:c r="D4" s="72" t="str">
        <x:v>Mensaje docente</x:v>
      </x:c>
      <x:c r="E4" s="72" t="str">
        <x:v>Repositorio actualizado antes del 26 de junio 08:30 y defensa el 3 de julio 19:00.</x:v>
      </x:c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Pendiente</x:v>
      </x:c>
      <x:c r="B5" s="62" t="str">
        <x:v>Nelson</x:v>
      </x:c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/>
      <x:c r="B6" s="62" t="str">
        <x:v>Valentina</x:v>
      </x:c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/>
      <x:c r="B7" s="62"/>
      <x:c r="C7" s="62"/>
      <x:c r="D7" s="62"/>
      <x:c r="E7" s="62"/>
      <x:c r="F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/>
      <x:c r="B8" s="62"/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/>
      <x:c r="B9" s="62"/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62"/>
      <x:c r="L121" s="62"/>
      <x:c r="M121" s="62"/>
      <x:c r="N121" s="62"/>
      <x:c r="O121" s="62"/>
      <x:c r="P121" s="62"/>
      <x:c r="Q121" s="62"/>
      <x:c r="R121" s="62"/>
      <x:c r="S121" s="62"/>
      <x:c r="T121" s="62"/>
      <x:c r="U121" s="62"/>
      <x:c r="V121" s="62"/>
      <x:c r="W121" s="62"/>
      <x:c r="X121" s="62"/>
      <x:c r="Y121" s="62"/>
      <x:c r="Z121" s="62"/>
    </x:row>
    <x:row r="122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62"/>
      <x:c r="L122" s="62"/>
      <x:c r="M122" s="62"/>
      <x:c r="N122" s="62"/>
      <x:c r="O122" s="62"/>
      <x:c r="P122" s="62"/>
      <x:c r="Q122" s="62"/>
      <x:c r="R122" s="62"/>
      <x:c r="S122" s="62"/>
      <x:c r="T122" s="62"/>
      <x:c r="U122" s="62"/>
      <x:c r="V122" s="62"/>
      <x:c r="W122" s="62"/>
      <x:c r="X122" s="62"/>
      <x:c r="Y122" s="62"/>
      <x:c r="Z122" s="62"/>
    </x:row>
    <x:row r="123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62"/>
      <x:c r="L123" s="62"/>
      <x:c r="M123" s="62"/>
      <x:c r="N123" s="62"/>
      <x:c r="O123" s="62"/>
      <x:c r="P123" s="62"/>
      <x:c r="Q123" s="62"/>
      <x:c r="R123" s="62"/>
      <x:c r="S123" s="62"/>
      <x:c r="T123" s="62"/>
      <x:c r="U123" s="62"/>
      <x:c r="V123" s="62"/>
      <x:c r="W123" s="62"/>
      <x:c r="X123" s="62"/>
      <x:c r="Y123" s="62"/>
      <x:c r="Z123" s="62"/>
    </x:row>
    <x:row r="124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62"/>
      <x:c r="L124" s="62"/>
      <x:c r="M124" s="62"/>
      <x:c r="N124" s="62"/>
      <x:c r="O124" s="62"/>
      <x:c r="P124" s="62"/>
      <x:c r="Q124" s="62"/>
      <x:c r="R124" s="62"/>
      <x:c r="S124" s="62"/>
      <x:c r="T124" s="62"/>
      <x:c r="U124" s="62"/>
      <x:c r="V124" s="62"/>
      <x:c r="W124" s="62"/>
      <x:c r="X124" s="62"/>
      <x:c r="Y124" s="62"/>
      <x:c r="Z124" s="62"/>
    </x:row>
    <x:row r="125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62"/>
      <x:c r="L125" s="62"/>
      <x:c r="M125" s="62"/>
      <x:c r="N125" s="62"/>
      <x:c r="O125" s="62"/>
      <x:c r="P125" s="62"/>
      <x:c r="Q125" s="62"/>
      <x:c r="R125" s="62"/>
      <x:c r="S125" s="62"/>
      <x:c r="T125" s="62"/>
      <x:c r="U125" s="62"/>
      <x:c r="V125" s="62"/>
      <x:c r="W125" s="62"/>
      <x:c r="X125" s="62"/>
      <x:c r="Y125" s="62"/>
      <x:c r="Z125" s="62"/>
    </x:row>
    <x:row r="126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62"/>
      <x:c r="L126" s="62"/>
      <x:c r="M126" s="62"/>
      <x:c r="N126" s="62"/>
      <x:c r="O126" s="62"/>
      <x:c r="P126" s="62"/>
      <x:c r="Q126" s="62"/>
      <x:c r="R126" s="62"/>
      <x:c r="S126" s="62"/>
      <x:c r="T126" s="62"/>
      <x:c r="U126" s="62"/>
      <x:c r="V126" s="62"/>
      <x:c r="W126" s="62"/>
      <x:c r="X126" s="62"/>
      <x:c r="Y126" s="62"/>
      <x:c r="Z126" s="62"/>
    </x:row>
    <x:row r="127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62"/>
      <x:c r="L127" s="62"/>
      <x:c r="M127" s="62"/>
      <x:c r="N127" s="62"/>
      <x:c r="O127" s="62"/>
      <x:c r="P127" s="62"/>
      <x:c r="Q127" s="62"/>
      <x:c r="R127" s="62"/>
      <x:c r="S127" s="62"/>
      <x:c r="T127" s="62"/>
      <x:c r="U127" s="62"/>
      <x:c r="V127" s="62"/>
      <x:c r="W127" s="62"/>
      <x:c r="X127" s="62"/>
      <x:c r="Y127" s="62"/>
      <x:c r="Z127" s="62"/>
    </x:row>
    <x:row r="128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62"/>
      <x:c r="L128" s="62"/>
      <x:c r="M128" s="62"/>
      <x:c r="N128" s="62"/>
      <x:c r="O128" s="62"/>
      <x:c r="P128" s="62"/>
      <x:c r="Q128" s="62"/>
      <x:c r="R128" s="62"/>
      <x:c r="S128" s="62"/>
      <x:c r="T128" s="62"/>
      <x:c r="U128" s="62"/>
      <x:c r="V128" s="62"/>
      <x:c r="W128" s="62"/>
      <x:c r="X128" s="62"/>
      <x:c r="Y128" s="62"/>
      <x:c r="Z128" s="62"/>
    </x:row>
    <x:row r="129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62"/>
      <x:c r="L129" s="62"/>
      <x:c r="M129" s="62"/>
      <x:c r="N129" s="62"/>
      <x:c r="O129" s="62"/>
      <x:c r="P129" s="62"/>
      <x:c r="Q129" s="62"/>
      <x:c r="R129" s="62"/>
      <x:c r="S129" s="62"/>
      <x:c r="T129" s="62"/>
      <x:c r="U129" s="62"/>
      <x:c r="V129" s="62"/>
      <x:c r="W129" s="62"/>
      <x:c r="X129" s="62"/>
      <x:c r="Y129" s="62"/>
      <x:c r="Z129" s="62"/>
    </x:row>
    <x:row r="130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62"/>
      <x:c r="L130" s="62"/>
      <x:c r="M130" s="62"/>
      <x:c r="N130" s="62"/>
      <x:c r="O130" s="62"/>
      <x:c r="P130" s="62"/>
      <x:c r="Q130" s="62"/>
      <x:c r="R130" s="62"/>
      <x:c r="S130" s="62"/>
      <x:c r="T130" s="62"/>
      <x:c r="U130" s="62"/>
      <x:c r="V130" s="62"/>
      <x:c r="W130" s="62"/>
      <x:c r="X130" s="62"/>
      <x:c r="Y130" s="62"/>
      <x:c r="Z130" s="62"/>
    </x:row>
    <x:row r="13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62"/>
      <x:c r="L131" s="62"/>
      <x:c r="M131" s="62"/>
      <x:c r="N131" s="62"/>
      <x:c r="O131" s="62"/>
      <x:c r="P131" s="62"/>
      <x:c r="Q131" s="62"/>
      <x:c r="R131" s="62"/>
      <x:c r="S131" s="62"/>
      <x:c r="T131" s="62"/>
      <x:c r="U131" s="62"/>
      <x:c r="V131" s="62"/>
      <x:c r="W131" s="62"/>
      <x:c r="X131" s="62"/>
      <x:c r="Y131" s="62"/>
      <x:c r="Z131" s="62"/>
    </x:row>
    <x:row r="132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62"/>
      <x:c r="L132" s="62"/>
      <x:c r="M132" s="62"/>
      <x:c r="N132" s="62"/>
      <x:c r="O132" s="62"/>
      <x:c r="P132" s="62"/>
      <x:c r="Q132" s="62"/>
      <x:c r="R132" s="62"/>
      <x:c r="S132" s="62"/>
      <x:c r="T132" s="62"/>
      <x:c r="U132" s="62"/>
      <x:c r="V132" s="62"/>
      <x:c r="W132" s="62"/>
      <x:c r="X132" s="62"/>
      <x:c r="Y132" s="62"/>
      <x:c r="Z132" s="62"/>
    </x:row>
    <x:row r="133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62"/>
      <x:c r="L133" s="62"/>
      <x:c r="M133" s="62"/>
      <x:c r="N133" s="62"/>
      <x:c r="O133" s="62"/>
      <x:c r="P133" s="62"/>
      <x:c r="Q133" s="62"/>
      <x:c r="R133" s="62"/>
      <x:c r="S133" s="62"/>
      <x:c r="T133" s="62"/>
      <x:c r="U133" s="62"/>
      <x:c r="V133" s="62"/>
      <x:c r="W133" s="62"/>
      <x:c r="X133" s="62"/>
      <x:c r="Y133" s="62"/>
      <x:c r="Z133" s="62"/>
    </x:row>
    <x:row r="134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62"/>
      <x:c r="L134" s="62"/>
      <x:c r="M134" s="62"/>
      <x:c r="N134" s="62"/>
      <x:c r="O134" s="62"/>
      <x:c r="P134" s="62"/>
      <x:c r="Q134" s="62"/>
      <x:c r="R134" s="62"/>
      <x:c r="S134" s="62"/>
      <x:c r="T134" s="62"/>
      <x:c r="U134" s="62"/>
      <x:c r="V134" s="62"/>
      <x:c r="W134" s="62"/>
      <x:c r="X134" s="62"/>
      <x:c r="Y134" s="62"/>
      <x:c r="Z134" s="62"/>
    </x:row>
    <x:row r="135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62"/>
      <x:c r="L135" s="62"/>
      <x:c r="M135" s="62"/>
      <x:c r="N135" s="62"/>
      <x:c r="O135" s="62"/>
      <x:c r="P135" s="62"/>
      <x:c r="Q135" s="62"/>
      <x:c r="R135" s="62"/>
      <x:c r="S135" s="62"/>
      <x:c r="T135" s="62"/>
      <x:c r="U135" s="62"/>
      <x:c r="V135" s="62"/>
      <x:c r="W135" s="62"/>
      <x:c r="X135" s="62"/>
      <x:c r="Y135" s="62"/>
      <x:c r="Z135" s="62"/>
    </x:row>
    <x:row r="136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62"/>
      <x:c r="L136" s="62"/>
      <x:c r="M136" s="62"/>
      <x:c r="N136" s="62"/>
      <x:c r="O136" s="62"/>
      <x:c r="P136" s="62"/>
      <x:c r="Q136" s="62"/>
      <x:c r="R136" s="62"/>
      <x:c r="S136" s="62"/>
      <x:c r="T136" s="62"/>
      <x:c r="U136" s="62"/>
      <x:c r="V136" s="62"/>
      <x:c r="W136" s="62"/>
      <x:c r="X136" s="62"/>
      <x:c r="Y136" s="62"/>
      <x:c r="Z136" s="62"/>
    </x:row>
    <x:row r="137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62"/>
      <x:c r="L137" s="62"/>
      <x:c r="M137" s="62"/>
      <x:c r="N137" s="62"/>
      <x:c r="O137" s="62"/>
      <x:c r="P137" s="62"/>
      <x:c r="Q137" s="62"/>
      <x:c r="R137" s="62"/>
      <x:c r="S137" s="62"/>
      <x:c r="T137" s="62"/>
      <x:c r="U137" s="62"/>
      <x:c r="V137" s="62"/>
      <x:c r="W137" s="62"/>
      <x:c r="X137" s="62"/>
      <x:c r="Y137" s="62"/>
      <x:c r="Z137" s="62"/>
    </x:row>
    <x:row r="138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62"/>
      <x:c r="L138" s="62"/>
      <x:c r="M138" s="62"/>
      <x:c r="N138" s="62"/>
      <x:c r="O138" s="62"/>
      <x:c r="P138" s="62"/>
      <x:c r="Q138" s="62"/>
      <x:c r="R138" s="62"/>
      <x:c r="S138" s="62"/>
      <x:c r="T138" s="62"/>
      <x:c r="U138" s="62"/>
      <x:c r="V138" s="62"/>
      <x:c r="W138" s="62"/>
      <x:c r="X138" s="62"/>
      <x:c r="Y138" s="62"/>
      <x:c r="Z138" s="62"/>
    </x:row>
    <x:row r="139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62"/>
      <x:c r="L139" s="62"/>
      <x:c r="M139" s="62"/>
      <x:c r="N139" s="62"/>
      <x:c r="O139" s="62"/>
      <x:c r="P139" s="62"/>
      <x:c r="Q139" s="62"/>
      <x:c r="R139" s="62"/>
      <x:c r="S139" s="62"/>
      <x:c r="T139" s="62"/>
      <x:c r="U139" s="62"/>
      <x:c r="V139" s="62"/>
      <x:c r="W139" s="62"/>
      <x:c r="X139" s="62"/>
      <x:c r="Y139" s="62"/>
      <x:c r="Z139" s="62"/>
    </x:row>
    <x:row r="140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62"/>
      <x:c r="L140" s="62"/>
      <x:c r="M140" s="62"/>
      <x:c r="N140" s="62"/>
      <x:c r="O140" s="62"/>
      <x:c r="P140" s="62"/>
      <x:c r="Q140" s="62"/>
      <x:c r="R140" s="62"/>
      <x:c r="S140" s="62"/>
      <x:c r="T140" s="62"/>
      <x:c r="U140" s="62"/>
      <x:c r="V140" s="62"/>
      <x:c r="W140" s="62"/>
      <x:c r="X140" s="62"/>
      <x:c r="Y140" s="62"/>
      <x:c r="Z140" s="62"/>
    </x:row>
    <x:row r="14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62"/>
      <x:c r="L141" s="62"/>
      <x:c r="M141" s="62"/>
      <x:c r="N141" s="62"/>
      <x:c r="O141" s="62"/>
      <x:c r="P141" s="62"/>
      <x:c r="Q141" s="62"/>
      <x:c r="R141" s="62"/>
      <x:c r="S141" s="62"/>
      <x:c r="T141" s="62"/>
      <x:c r="U141" s="62"/>
      <x:c r="V141" s="62"/>
      <x:c r="W141" s="62"/>
      <x:c r="X141" s="62"/>
      <x:c r="Y141" s="62"/>
      <x:c r="Z141" s="62"/>
    </x:row>
    <x:row r="142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62"/>
      <x:c r="L142" s="62"/>
      <x:c r="M142" s="62"/>
      <x:c r="N142" s="62"/>
      <x:c r="O142" s="62"/>
      <x:c r="P142" s="62"/>
      <x:c r="Q142" s="62"/>
      <x:c r="R142" s="62"/>
      <x:c r="S142" s="62"/>
      <x:c r="T142" s="62"/>
      <x:c r="U142" s="62"/>
      <x:c r="V142" s="62"/>
      <x:c r="W142" s="62"/>
      <x:c r="X142" s="62"/>
      <x:c r="Y142" s="62"/>
      <x:c r="Z142" s="62"/>
    </x:row>
    <x:row r="143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62"/>
      <x:c r="L143" s="62"/>
      <x:c r="M143" s="62"/>
      <x:c r="N143" s="62"/>
      <x:c r="O143" s="62"/>
      <x:c r="P143" s="62"/>
      <x:c r="Q143" s="62"/>
      <x:c r="R143" s="62"/>
      <x:c r="S143" s="62"/>
      <x:c r="T143" s="62"/>
      <x:c r="U143" s="62"/>
      <x:c r="V143" s="62"/>
      <x:c r="W143" s="62"/>
      <x:c r="X143" s="62"/>
      <x:c r="Y143" s="62"/>
      <x:c r="Z143" s="62"/>
    </x:row>
    <x:row r="144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62"/>
      <x:c r="L144" s="62"/>
      <x:c r="M144" s="62"/>
      <x:c r="N144" s="62"/>
      <x:c r="O144" s="62"/>
      <x:c r="P144" s="62"/>
      <x:c r="Q144" s="62"/>
      <x:c r="R144" s="62"/>
      <x:c r="S144" s="62"/>
      <x:c r="T144" s="62"/>
      <x:c r="U144" s="62"/>
      <x:c r="V144" s="62"/>
      <x:c r="W144" s="62"/>
      <x:c r="X144" s="62"/>
      <x:c r="Y144" s="62"/>
      <x:c r="Z144" s="62"/>
    </x:row>
    <x:row r="145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62"/>
      <x:c r="L145" s="62"/>
      <x:c r="M145" s="62"/>
      <x:c r="N145" s="62"/>
      <x:c r="O145" s="62"/>
      <x:c r="P145" s="62"/>
      <x:c r="Q145" s="62"/>
      <x:c r="R145" s="62"/>
      <x:c r="S145" s="62"/>
      <x:c r="T145" s="62"/>
      <x:c r="U145" s="62"/>
      <x:c r="V145" s="62"/>
      <x:c r="W145" s="62"/>
      <x:c r="X145" s="62"/>
      <x:c r="Y145" s="62"/>
      <x:c r="Z145" s="62"/>
    </x:row>
    <x:row r="146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62"/>
      <x:c r="L146" s="62"/>
      <x:c r="M146" s="62"/>
      <x:c r="N146" s="62"/>
      <x:c r="O146" s="62"/>
      <x:c r="P146" s="62"/>
      <x:c r="Q146" s="62"/>
      <x:c r="R146" s="62"/>
      <x:c r="S146" s="62"/>
      <x:c r="T146" s="62"/>
      <x:c r="U146" s="62"/>
      <x:c r="V146" s="62"/>
      <x:c r="W146" s="62"/>
      <x:c r="X146" s="62"/>
      <x:c r="Y146" s="62"/>
      <x:c r="Z146" s="62"/>
    </x:row>
    <x:row r="147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62"/>
      <x:c r="L147" s="62"/>
      <x:c r="M147" s="62"/>
      <x:c r="N147" s="62"/>
      <x:c r="O147" s="62"/>
      <x:c r="P147" s="62"/>
      <x:c r="Q147" s="62"/>
      <x:c r="R147" s="62"/>
      <x:c r="S147" s="62"/>
      <x:c r="T147" s="62"/>
      <x:c r="U147" s="62"/>
      <x:c r="V147" s="62"/>
      <x:c r="W147" s="62"/>
      <x:c r="X147" s="62"/>
      <x:c r="Y147" s="62"/>
      <x:c r="Z147" s="62"/>
    </x:row>
    <x:row r="148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62"/>
      <x:c r="L148" s="62"/>
      <x:c r="M148" s="62"/>
      <x:c r="N148" s="62"/>
      <x:c r="O148" s="62"/>
      <x:c r="P148" s="62"/>
      <x:c r="Q148" s="62"/>
      <x:c r="R148" s="62"/>
      <x:c r="S148" s="62"/>
      <x:c r="T148" s="62"/>
      <x:c r="U148" s="62"/>
      <x:c r="V148" s="62"/>
      <x:c r="W148" s="62"/>
      <x:c r="X148" s="62"/>
      <x:c r="Y148" s="62"/>
      <x:c r="Z148" s="62"/>
    </x:row>
    <x:row r="149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62"/>
      <x:c r="L149" s="62"/>
      <x:c r="M149" s="62"/>
      <x:c r="N149" s="62"/>
      <x:c r="O149" s="62"/>
      <x:c r="P149" s="62"/>
      <x:c r="Q149" s="62"/>
      <x:c r="R149" s="62"/>
      <x:c r="S149" s="62"/>
      <x:c r="T149" s="62"/>
      <x:c r="U149" s="62"/>
      <x:c r="V149" s="62"/>
      <x:c r="W149" s="62"/>
      <x:c r="X149" s="62"/>
      <x:c r="Y149" s="62"/>
      <x:c r="Z149" s="62"/>
    </x:row>
    <x:row r="150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62"/>
      <x:c r="L150" s="62"/>
      <x:c r="M150" s="62"/>
      <x:c r="N150" s="62"/>
      <x:c r="O150" s="62"/>
      <x:c r="P150" s="62"/>
      <x:c r="Q150" s="62"/>
      <x:c r="R150" s="62"/>
      <x:c r="S150" s="62"/>
      <x:c r="T150" s="62"/>
      <x:c r="U150" s="62"/>
      <x:c r="V150" s="62"/>
      <x:c r="W150" s="62"/>
      <x:c r="X150" s="62"/>
      <x:c r="Y150" s="62"/>
      <x:c r="Z150" s="62"/>
    </x:row>
    <x:row r="15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62"/>
      <x:c r="L151" s="62"/>
      <x:c r="M151" s="62"/>
      <x:c r="N151" s="62"/>
      <x:c r="O151" s="62"/>
      <x:c r="P151" s="62"/>
      <x:c r="Q151" s="62"/>
      <x:c r="R151" s="62"/>
      <x:c r="S151" s="62"/>
      <x:c r="T151" s="62"/>
      <x:c r="U151" s="62"/>
      <x:c r="V151" s="62"/>
      <x:c r="W151" s="62"/>
      <x:c r="X151" s="62"/>
      <x:c r="Y151" s="62"/>
      <x:c r="Z151" s="62"/>
    </x:row>
    <x:row r="152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62"/>
      <x:c r="L152" s="62"/>
      <x:c r="M152" s="62"/>
      <x:c r="N152" s="62"/>
      <x:c r="O152" s="62"/>
      <x:c r="P152" s="62"/>
      <x:c r="Q152" s="62"/>
      <x:c r="R152" s="62"/>
      <x:c r="S152" s="62"/>
      <x:c r="T152" s="62"/>
      <x:c r="U152" s="62"/>
      <x:c r="V152" s="62"/>
      <x:c r="W152" s="62"/>
      <x:c r="X152" s="62"/>
      <x:c r="Y152" s="62"/>
      <x:c r="Z152" s="62"/>
    </x:row>
    <x:row r="153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62"/>
      <x:c r="L153" s="62"/>
      <x:c r="M153" s="62"/>
      <x:c r="N153" s="62"/>
      <x:c r="O153" s="62"/>
      <x:c r="P153" s="62"/>
      <x:c r="Q153" s="62"/>
      <x:c r="R153" s="62"/>
      <x:c r="S153" s="62"/>
      <x:c r="T153" s="62"/>
      <x:c r="U153" s="62"/>
      <x:c r="V153" s="62"/>
      <x:c r="W153" s="62"/>
      <x:c r="X153" s="62"/>
      <x:c r="Y153" s="62"/>
      <x:c r="Z153" s="62"/>
    </x:row>
    <x:row r="154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62"/>
      <x:c r="L154" s="62"/>
      <x:c r="M154" s="62"/>
      <x:c r="N154" s="62"/>
      <x:c r="O154" s="62"/>
      <x:c r="P154" s="62"/>
      <x:c r="Q154" s="62"/>
      <x:c r="R154" s="62"/>
      <x:c r="S154" s="62"/>
      <x:c r="T154" s="62"/>
      <x:c r="U154" s="62"/>
      <x:c r="V154" s="62"/>
      <x:c r="W154" s="62"/>
      <x:c r="X154" s="62"/>
      <x:c r="Y154" s="62"/>
      <x:c r="Z154" s="62"/>
    </x:row>
    <x:row r="155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62"/>
      <x:c r="L155" s="62"/>
      <x:c r="M155" s="62"/>
      <x:c r="N155" s="62"/>
      <x:c r="O155" s="62"/>
      <x:c r="P155" s="62"/>
      <x:c r="Q155" s="62"/>
      <x:c r="R155" s="62"/>
      <x:c r="S155" s="62"/>
      <x:c r="T155" s="62"/>
      <x:c r="U155" s="62"/>
      <x:c r="V155" s="62"/>
      <x:c r="W155" s="62"/>
      <x:c r="X155" s="62"/>
      <x:c r="Y155" s="62"/>
      <x:c r="Z155" s="62"/>
    </x:row>
    <x:row r="156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62"/>
      <x:c r="L156" s="62"/>
      <x:c r="M156" s="62"/>
      <x:c r="N156" s="62"/>
      <x:c r="O156" s="62"/>
      <x:c r="P156" s="62"/>
      <x:c r="Q156" s="62"/>
      <x:c r="R156" s="62"/>
      <x:c r="S156" s="62"/>
      <x:c r="T156" s="62"/>
      <x:c r="U156" s="62"/>
      <x:c r="V156" s="62"/>
      <x:c r="W156" s="62"/>
      <x:c r="X156" s="62"/>
      <x:c r="Y156" s="62"/>
      <x:c r="Z156" s="62"/>
    </x:row>
    <x:row r="157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62"/>
      <x:c r="L157" s="62"/>
      <x:c r="M157" s="62"/>
      <x:c r="N157" s="62"/>
      <x:c r="O157" s="62"/>
      <x:c r="P157" s="62"/>
      <x:c r="Q157" s="62"/>
      <x:c r="R157" s="62"/>
      <x:c r="S157" s="62"/>
      <x:c r="T157" s="62"/>
      <x:c r="U157" s="62"/>
      <x:c r="V157" s="62"/>
      <x:c r="W157" s="62"/>
      <x:c r="X157" s="62"/>
      <x:c r="Y157" s="62"/>
      <x:c r="Z157" s="62"/>
    </x:row>
    <x:row r="158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62"/>
      <x:c r="L158" s="62"/>
      <x:c r="M158" s="62"/>
      <x:c r="N158" s="62"/>
      <x:c r="O158" s="62"/>
      <x:c r="P158" s="62"/>
      <x:c r="Q158" s="62"/>
      <x:c r="R158" s="62"/>
      <x:c r="S158" s="62"/>
      <x:c r="T158" s="62"/>
      <x:c r="U158" s="62"/>
      <x:c r="V158" s="62"/>
      <x:c r="W158" s="62"/>
      <x:c r="X158" s="62"/>
      <x:c r="Y158" s="62"/>
      <x:c r="Z158" s="62"/>
    </x:row>
    <x:row r="159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62"/>
      <x:c r="L159" s="62"/>
      <x:c r="M159" s="62"/>
      <x:c r="N159" s="62"/>
      <x:c r="O159" s="62"/>
      <x:c r="P159" s="62"/>
      <x:c r="Q159" s="62"/>
      <x:c r="R159" s="62"/>
      <x:c r="S159" s="62"/>
      <x:c r="T159" s="62"/>
      <x:c r="U159" s="62"/>
      <x:c r="V159" s="62"/>
      <x:c r="W159" s="62"/>
      <x:c r="X159" s="62"/>
      <x:c r="Y159" s="62"/>
      <x:c r="Z159" s="62"/>
    </x:row>
    <x:row r="160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62"/>
      <x:c r="L160" s="62"/>
      <x:c r="M160" s="62"/>
      <x:c r="N160" s="62"/>
      <x:c r="O160" s="62"/>
      <x:c r="P160" s="62"/>
      <x:c r="Q160" s="62"/>
      <x:c r="R160" s="62"/>
      <x:c r="S160" s="62"/>
      <x:c r="T160" s="62"/>
      <x:c r="U160" s="62"/>
      <x:c r="V160" s="62"/>
      <x:c r="W160" s="62"/>
      <x:c r="X160" s="62"/>
      <x:c r="Y160" s="62"/>
      <x:c r="Z160" s="62"/>
    </x:row>
    <x:row r="16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62"/>
      <x:c r="L161" s="62"/>
      <x:c r="M161" s="62"/>
      <x:c r="N161" s="62"/>
      <x:c r="O161" s="62"/>
      <x:c r="P161" s="62"/>
      <x:c r="Q161" s="62"/>
      <x:c r="R161" s="62"/>
      <x:c r="S161" s="62"/>
      <x:c r="T161" s="62"/>
      <x:c r="U161" s="62"/>
      <x:c r="V161" s="62"/>
      <x:c r="W161" s="62"/>
      <x:c r="X161" s="62"/>
      <x:c r="Y161" s="62"/>
      <x:c r="Z161" s="62"/>
    </x:row>
    <x:row r="162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62"/>
      <x:c r="L162" s="62"/>
      <x:c r="M162" s="62"/>
      <x:c r="N162" s="62"/>
      <x:c r="O162" s="62"/>
      <x:c r="P162" s="62"/>
      <x:c r="Q162" s="62"/>
      <x:c r="R162" s="62"/>
      <x:c r="S162" s="62"/>
      <x:c r="T162" s="62"/>
      <x:c r="U162" s="62"/>
      <x:c r="V162" s="62"/>
      <x:c r="W162" s="62"/>
      <x:c r="X162" s="62"/>
      <x:c r="Y162" s="62"/>
      <x:c r="Z162" s="62"/>
    </x:row>
    <x:row r="163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62"/>
      <x:c r="L163" s="62"/>
      <x:c r="M163" s="62"/>
      <x:c r="N163" s="62"/>
      <x:c r="O163" s="62"/>
      <x:c r="P163" s="62"/>
      <x:c r="Q163" s="62"/>
      <x:c r="R163" s="62"/>
      <x:c r="S163" s="62"/>
      <x:c r="T163" s="62"/>
      <x:c r="U163" s="62"/>
      <x:c r="V163" s="62"/>
      <x:c r="W163" s="62"/>
      <x:c r="X163" s="62"/>
      <x:c r="Y163" s="62"/>
      <x:c r="Z163" s="62"/>
    </x:row>
    <x:row r="164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62"/>
      <x:c r="L164" s="62"/>
      <x:c r="M164" s="62"/>
      <x:c r="N164" s="62"/>
      <x:c r="O164" s="62"/>
      <x:c r="P164" s="62"/>
      <x:c r="Q164" s="62"/>
      <x:c r="R164" s="62"/>
      <x:c r="S164" s="62"/>
      <x:c r="T164" s="62"/>
      <x:c r="U164" s="62"/>
      <x:c r="V164" s="62"/>
      <x:c r="W164" s="62"/>
      <x:c r="X164" s="62"/>
      <x:c r="Y164" s="62"/>
      <x:c r="Z164" s="62"/>
    </x:row>
    <x:row r="165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62"/>
      <x:c r="L165" s="62"/>
      <x:c r="M165" s="62"/>
      <x:c r="N165" s="62"/>
      <x:c r="O165" s="62"/>
      <x:c r="P165" s="62"/>
      <x:c r="Q165" s="62"/>
      <x:c r="R165" s="62"/>
      <x:c r="S165" s="62"/>
      <x:c r="T165" s="62"/>
      <x:c r="U165" s="62"/>
      <x:c r="V165" s="62"/>
      <x:c r="W165" s="62"/>
      <x:c r="X165" s="62"/>
      <x:c r="Y165" s="62"/>
      <x:c r="Z165" s="62"/>
    </x:row>
    <x:row r="166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62"/>
      <x:c r="L166" s="62"/>
      <x:c r="M166" s="62"/>
      <x:c r="N166" s="62"/>
      <x:c r="O166" s="62"/>
      <x:c r="P166" s="62"/>
      <x:c r="Q166" s="62"/>
      <x:c r="R166" s="62"/>
      <x:c r="S166" s="62"/>
      <x:c r="T166" s="62"/>
      <x:c r="U166" s="62"/>
      <x:c r="V166" s="62"/>
      <x:c r="W166" s="62"/>
      <x:c r="X166" s="62"/>
      <x:c r="Y166" s="62"/>
      <x:c r="Z166" s="62"/>
    </x:row>
    <x:row r="167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62"/>
      <x:c r="L167" s="62"/>
      <x:c r="M167" s="62"/>
      <x:c r="N167" s="62"/>
      <x:c r="O167" s="62"/>
      <x:c r="P167" s="62"/>
      <x:c r="Q167" s="62"/>
      <x:c r="R167" s="62"/>
      <x:c r="S167" s="62"/>
      <x:c r="T167" s="62"/>
      <x:c r="U167" s="62"/>
      <x:c r="V167" s="62"/>
      <x:c r="W167" s="62"/>
      <x:c r="X167" s="62"/>
      <x:c r="Y167" s="62"/>
      <x:c r="Z167" s="62"/>
    </x:row>
    <x:row r="168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62"/>
      <x:c r="L168" s="62"/>
      <x:c r="M168" s="62"/>
      <x:c r="N168" s="62"/>
      <x:c r="O168" s="62"/>
      <x:c r="P168" s="62"/>
      <x:c r="Q168" s="62"/>
      <x:c r="R168" s="62"/>
      <x:c r="S168" s="62"/>
      <x:c r="T168" s="62"/>
      <x:c r="U168" s="62"/>
      <x:c r="V168" s="62"/>
      <x:c r="W168" s="62"/>
      <x:c r="X168" s="62"/>
      <x:c r="Y168" s="62"/>
      <x:c r="Z168" s="62"/>
    </x:row>
    <x:row r="169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62"/>
      <x:c r="L169" s="62"/>
      <x:c r="M169" s="62"/>
      <x:c r="N169" s="62"/>
      <x:c r="O169" s="62"/>
      <x:c r="P169" s="62"/>
      <x:c r="Q169" s="62"/>
      <x:c r="R169" s="62"/>
      <x:c r="S169" s="62"/>
      <x:c r="T169" s="62"/>
      <x:c r="U169" s="62"/>
      <x:c r="V169" s="62"/>
      <x:c r="W169" s="62"/>
      <x:c r="X169" s="62"/>
      <x:c r="Y169" s="62"/>
      <x:c r="Z169" s="62"/>
    </x:row>
    <x:row r="170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62"/>
      <x:c r="L170" s="62"/>
      <x:c r="M170" s="62"/>
      <x:c r="N170" s="62"/>
      <x:c r="O170" s="62"/>
      <x:c r="P170" s="62"/>
      <x:c r="Q170" s="62"/>
      <x:c r="R170" s="62"/>
      <x:c r="S170" s="62"/>
      <x:c r="T170" s="62"/>
      <x:c r="U170" s="62"/>
      <x:c r="V170" s="62"/>
      <x:c r="W170" s="62"/>
      <x:c r="X170" s="62"/>
      <x:c r="Y170" s="62"/>
      <x:c r="Z170" s="62"/>
    </x:row>
    <x:row r="17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62"/>
      <x:c r="L171" s="62"/>
      <x:c r="M171" s="62"/>
      <x:c r="N171" s="62"/>
      <x:c r="O171" s="62"/>
      <x:c r="P171" s="62"/>
      <x:c r="Q171" s="62"/>
      <x:c r="R171" s="62"/>
      <x:c r="S171" s="62"/>
      <x:c r="T171" s="62"/>
      <x:c r="U171" s="62"/>
      <x:c r="V171" s="62"/>
      <x:c r="W171" s="62"/>
      <x:c r="X171" s="62"/>
      <x:c r="Y171" s="62"/>
      <x:c r="Z171" s="62"/>
    </x:row>
    <x:row r="172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62"/>
      <x:c r="L172" s="62"/>
      <x:c r="M172" s="62"/>
      <x:c r="N172" s="62"/>
      <x:c r="O172" s="62"/>
      <x:c r="P172" s="62"/>
      <x:c r="Q172" s="62"/>
      <x:c r="R172" s="62"/>
      <x:c r="S172" s="62"/>
      <x:c r="T172" s="62"/>
      <x:c r="U172" s="62"/>
      <x:c r="V172" s="62"/>
      <x:c r="W172" s="62"/>
      <x:c r="X172" s="62"/>
      <x:c r="Y172" s="62"/>
      <x:c r="Z172" s="62"/>
    </x:row>
    <x:row r="173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62"/>
      <x:c r="L173" s="62"/>
      <x:c r="M173" s="62"/>
      <x:c r="N173" s="62"/>
      <x:c r="O173" s="62"/>
      <x:c r="P173" s="62"/>
      <x:c r="Q173" s="62"/>
      <x:c r="R173" s="62"/>
      <x:c r="S173" s="62"/>
      <x:c r="T173" s="62"/>
      <x:c r="U173" s="62"/>
      <x:c r="V173" s="62"/>
      <x:c r="W173" s="62"/>
      <x:c r="X173" s="62"/>
      <x:c r="Y173" s="62"/>
      <x:c r="Z173" s="62"/>
    </x:row>
    <x:row r="174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62"/>
      <x:c r="L174" s="62"/>
      <x:c r="M174" s="62"/>
      <x:c r="N174" s="62"/>
      <x:c r="O174" s="62"/>
      <x:c r="P174" s="62"/>
      <x:c r="Q174" s="62"/>
      <x:c r="R174" s="62"/>
      <x:c r="S174" s="62"/>
      <x:c r="T174" s="62"/>
      <x:c r="U174" s="62"/>
      <x:c r="V174" s="62"/>
      <x:c r="W174" s="62"/>
      <x:c r="X174" s="62"/>
      <x:c r="Y174" s="62"/>
      <x:c r="Z174" s="62"/>
    </x:row>
    <x:row r="175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62"/>
      <x:c r="L175" s="62"/>
      <x:c r="M175" s="62"/>
      <x:c r="N175" s="62"/>
      <x:c r="O175" s="62"/>
      <x:c r="P175" s="62"/>
      <x:c r="Q175" s="62"/>
      <x:c r="R175" s="62"/>
      <x:c r="S175" s="62"/>
      <x:c r="T175" s="62"/>
      <x:c r="U175" s="62"/>
      <x:c r="V175" s="62"/>
      <x:c r="W175" s="62"/>
      <x:c r="X175" s="62"/>
      <x:c r="Y175" s="62"/>
      <x:c r="Z175" s="62"/>
    </x:row>
    <x:row r="176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62"/>
      <x:c r="L176" s="62"/>
      <x:c r="M176" s="62"/>
      <x:c r="N176" s="62"/>
      <x:c r="O176" s="62"/>
      <x:c r="P176" s="62"/>
      <x:c r="Q176" s="62"/>
      <x:c r="R176" s="62"/>
      <x:c r="S176" s="62"/>
      <x:c r="T176" s="62"/>
      <x:c r="U176" s="62"/>
      <x:c r="V176" s="62"/>
      <x:c r="W176" s="62"/>
      <x:c r="X176" s="62"/>
      <x:c r="Y176" s="62"/>
      <x:c r="Z176" s="62"/>
    </x:row>
    <x:row r="177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62"/>
      <x:c r="L177" s="62"/>
      <x:c r="M177" s="62"/>
      <x:c r="N177" s="62"/>
      <x:c r="O177" s="62"/>
      <x:c r="P177" s="62"/>
      <x:c r="Q177" s="62"/>
      <x:c r="R177" s="62"/>
      <x:c r="S177" s="62"/>
      <x:c r="T177" s="62"/>
      <x:c r="U177" s="62"/>
      <x:c r="V177" s="62"/>
      <x:c r="W177" s="62"/>
      <x:c r="X177" s="62"/>
      <x:c r="Y177" s="62"/>
      <x:c r="Z177" s="62"/>
    </x:row>
    <x:row r="178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62"/>
      <x:c r="L178" s="62"/>
      <x:c r="M178" s="62"/>
      <x:c r="N178" s="62"/>
      <x:c r="O178" s="62"/>
      <x:c r="P178" s="62"/>
      <x:c r="Q178" s="62"/>
      <x:c r="R178" s="62"/>
      <x:c r="S178" s="62"/>
      <x:c r="T178" s="62"/>
      <x:c r="U178" s="62"/>
      <x:c r="V178" s="62"/>
      <x:c r="W178" s="62"/>
      <x:c r="X178" s="62"/>
      <x:c r="Y178" s="62"/>
      <x:c r="Z178" s="62"/>
    </x:row>
    <x:row r="179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62"/>
      <x:c r="L179" s="62"/>
      <x:c r="M179" s="62"/>
      <x:c r="N179" s="62"/>
      <x:c r="O179" s="62"/>
      <x:c r="P179" s="62"/>
      <x:c r="Q179" s="62"/>
      <x:c r="R179" s="62"/>
      <x:c r="S179" s="62"/>
      <x:c r="T179" s="62"/>
      <x:c r="U179" s="62"/>
      <x:c r="V179" s="62"/>
      <x:c r="W179" s="62"/>
      <x:c r="X179" s="62"/>
      <x:c r="Y179" s="62"/>
      <x:c r="Z179" s="62"/>
    </x:row>
    <x:row r="180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  <x:c r="L180" s="62"/>
      <x:c r="M180" s="62"/>
      <x:c r="N180" s="62"/>
      <x:c r="O180" s="62"/>
      <x:c r="P180" s="62"/>
      <x:c r="Q180" s="62"/>
      <x:c r="R180" s="62"/>
      <x:c r="S180" s="62"/>
      <x:c r="T180" s="62"/>
      <x:c r="U180" s="62"/>
      <x:c r="V180" s="62"/>
      <x:c r="W180" s="62"/>
      <x:c r="X180" s="62"/>
      <x:c r="Y180" s="62"/>
      <x:c r="Z180" s="62"/>
    </x:row>
    <x:row r="18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  <x:c r="K181" s="62"/>
      <x:c r="L181" s="62"/>
      <x:c r="M181" s="62"/>
      <x:c r="N181" s="62"/>
      <x:c r="O181" s="62"/>
      <x:c r="P181" s="62"/>
      <x:c r="Q181" s="62"/>
      <x:c r="R181" s="62"/>
      <x:c r="S181" s="62"/>
      <x:c r="T181" s="62"/>
      <x:c r="U181" s="62"/>
      <x:c r="V181" s="62"/>
      <x:c r="W181" s="62"/>
      <x:c r="X181" s="62"/>
      <x:c r="Y181" s="62"/>
      <x:c r="Z181" s="62"/>
    </x:row>
    <x:row r="182">
      <x:c r="A182" s="62"/>
      <x:c r="B182" s="62"/>
      <x:c r="C182" s="62"/>
      <x:c r="D182" s="62"/>
      <x:c r="E182" s="62"/>
      <x:c r="F182" s="62"/>
      <x:c r="G182" s="62"/>
      <x:c r="H182" s="62"/>
      <x:c r="I182" s="62"/>
      <x:c r="J182" s="62"/>
      <x:c r="K182" s="62"/>
      <x:c r="L182" s="62"/>
      <x:c r="M182" s="62"/>
      <x:c r="N182" s="62"/>
      <x:c r="O182" s="62"/>
      <x:c r="P182" s="62"/>
      <x:c r="Q182" s="62"/>
      <x:c r="R182" s="62"/>
      <x:c r="S182" s="62"/>
      <x:c r="T182" s="62"/>
      <x:c r="U182" s="62"/>
      <x:c r="V182" s="62"/>
      <x:c r="W182" s="62"/>
      <x:c r="X182" s="62"/>
      <x:c r="Y182" s="62"/>
      <x:c r="Z182" s="62"/>
    </x:row>
    <x:row r="183">
      <x:c r="A183" s="62"/>
      <x:c r="B183" s="62"/>
      <x:c r="C183" s="62"/>
      <x:c r="D183" s="62"/>
      <x:c r="E183" s="62"/>
      <x:c r="F183" s="62"/>
      <x:c r="G183" s="62"/>
      <x:c r="H183" s="62"/>
      <x:c r="I183" s="62"/>
      <x:c r="J183" s="62"/>
      <x:c r="K183" s="62"/>
      <x:c r="L183" s="62"/>
      <x:c r="M183" s="62"/>
      <x:c r="N183" s="62"/>
      <x:c r="O183" s="62"/>
      <x:c r="P183" s="62"/>
      <x:c r="Q183" s="62"/>
      <x:c r="R183" s="62"/>
      <x:c r="S183" s="62"/>
      <x:c r="T183" s="62"/>
      <x:c r="U183" s="62"/>
      <x:c r="V183" s="62"/>
      <x:c r="W183" s="62"/>
      <x:c r="X183" s="62"/>
      <x:c r="Y183" s="62"/>
      <x:c r="Z183" s="62"/>
    </x:row>
    <x:row r="184">
      <x:c r="A184" s="62"/>
      <x:c r="B184" s="62"/>
      <x:c r="C184" s="62"/>
      <x:c r="D184" s="62"/>
      <x:c r="E184" s="62"/>
      <x:c r="F184" s="62"/>
      <x:c r="G184" s="62"/>
      <x:c r="H184" s="62"/>
      <x:c r="I184" s="62"/>
      <x:c r="J184" s="62"/>
      <x:c r="K184" s="62"/>
      <x:c r="L184" s="62"/>
      <x:c r="M184" s="62"/>
      <x:c r="N184" s="62"/>
      <x:c r="O184" s="62"/>
      <x:c r="P184" s="62"/>
      <x:c r="Q184" s="62"/>
      <x:c r="R184" s="62"/>
      <x:c r="S184" s="62"/>
      <x:c r="T184" s="62"/>
      <x:c r="U184" s="62"/>
      <x:c r="V184" s="62"/>
      <x:c r="W184" s="62"/>
      <x:c r="X184" s="62"/>
      <x:c r="Y184" s="62"/>
      <x:c r="Z184" s="62"/>
    </x:row>
    <x:row r="185">
      <x:c r="A185" s="62"/>
      <x:c r="B185" s="62"/>
      <x:c r="C185" s="62"/>
      <x:c r="D185" s="62"/>
      <x:c r="E185" s="62"/>
      <x:c r="F185" s="62"/>
      <x:c r="G185" s="62"/>
      <x:c r="H185" s="62"/>
      <x:c r="I185" s="62"/>
      <x:c r="J185" s="62"/>
      <x:c r="K185" s="62"/>
      <x:c r="L185" s="62"/>
      <x:c r="M185" s="62"/>
      <x:c r="N185" s="62"/>
      <x:c r="O185" s="62"/>
      <x:c r="P185" s="62"/>
      <x:c r="Q185" s="62"/>
      <x:c r="R185" s="62"/>
      <x:c r="S185" s="62"/>
      <x:c r="T185" s="62"/>
      <x:c r="U185" s="62"/>
      <x:c r="V185" s="62"/>
      <x:c r="W185" s="62"/>
      <x:c r="X185" s="62"/>
      <x:c r="Y185" s="62"/>
      <x:c r="Z185" s="62"/>
    </x:row>
    <x:row r="186">
      <x:c r="A186" s="62"/>
      <x:c r="B186" s="62"/>
      <x:c r="C186" s="62"/>
      <x:c r="D186" s="62"/>
      <x:c r="E186" s="62"/>
      <x:c r="F186" s="62"/>
      <x:c r="G186" s="62"/>
      <x:c r="H186" s="62"/>
      <x:c r="I186" s="62"/>
      <x:c r="J186" s="62"/>
      <x:c r="K186" s="62"/>
      <x:c r="L186" s="62"/>
      <x:c r="M186" s="62"/>
      <x:c r="N186" s="62"/>
      <x:c r="O186" s="62"/>
      <x:c r="P186" s="62"/>
      <x:c r="Q186" s="62"/>
      <x:c r="R186" s="62"/>
      <x:c r="S186" s="62"/>
      <x:c r="T186" s="62"/>
      <x:c r="U186" s="62"/>
      <x:c r="V186" s="62"/>
      <x:c r="W186" s="62"/>
      <x:c r="X186" s="62"/>
      <x:c r="Y186" s="62"/>
      <x:c r="Z186" s="62"/>
    </x:row>
    <x:row r="187">
      <x:c r="A187" s="62"/>
      <x:c r="B187" s="62"/>
      <x:c r="C187" s="62"/>
      <x:c r="D187" s="62"/>
      <x:c r="E187" s="62"/>
      <x:c r="F187" s="62"/>
      <x:c r="G187" s="62"/>
      <x:c r="H187" s="62"/>
      <x:c r="I187" s="62"/>
      <x:c r="J187" s="62"/>
      <x:c r="K187" s="62"/>
      <x:c r="L187" s="62"/>
      <x:c r="M187" s="62"/>
      <x:c r="N187" s="62"/>
      <x:c r="O187" s="62"/>
      <x:c r="P187" s="62"/>
      <x:c r="Q187" s="62"/>
      <x:c r="R187" s="62"/>
      <x:c r="S187" s="62"/>
      <x:c r="T187" s="62"/>
      <x:c r="U187" s="62"/>
      <x:c r="V187" s="62"/>
      <x:c r="W187" s="62"/>
      <x:c r="X187" s="62"/>
      <x:c r="Y187" s="62"/>
      <x:c r="Z187" s="62"/>
    </x:row>
    <x:row r="188">
      <x:c r="A188" s="62"/>
      <x:c r="B188" s="62"/>
      <x:c r="C188" s="62"/>
      <x:c r="D188" s="62"/>
      <x:c r="E188" s="62"/>
      <x:c r="F188" s="62"/>
      <x:c r="G188" s="62"/>
      <x:c r="H188" s="62"/>
      <x:c r="I188" s="62"/>
      <x:c r="J188" s="62"/>
      <x:c r="K188" s="62"/>
      <x:c r="L188" s="62"/>
      <x:c r="M188" s="62"/>
      <x:c r="N188" s="62"/>
      <x:c r="O188" s="62"/>
      <x:c r="P188" s="62"/>
      <x:c r="Q188" s="62"/>
      <x:c r="R188" s="62"/>
      <x:c r="S188" s="62"/>
      <x:c r="T188" s="62"/>
      <x:c r="U188" s="62"/>
      <x:c r="V188" s="62"/>
      <x:c r="W188" s="62"/>
      <x:c r="X188" s="62"/>
      <x:c r="Y188" s="62"/>
      <x:c r="Z188" s="62"/>
    </x:row>
    <x:row r="189">
      <x:c r="A189" s="62"/>
      <x:c r="B189" s="62"/>
      <x:c r="C189" s="62"/>
      <x:c r="D189" s="62"/>
      <x:c r="E189" s="62"/>
      <x:c r="F189" s="62"/>
      <x:c r="G189" s="62"/>
      <x:c r="H189" s="62"/>
      <x:c r="I189" s="62"/>
      <x:c r="J189" s="62"/>
      <x:c r="K189" s="62"/>
      <x:c r="L189" s="62"/>
      <x:c r="M189" s="62"/>
      <x:c r="N189" s="62"/>
      <x:c r="O189" s="62"/>
      <x:c r="P189" s="62"/>
      <x:c r="Q189" s="62"/>
      <x:c r="R189" s="62"/>
      <x:c r="S189" s="62"/>
      <x:c r="T189" s="62"/>
      <x:c r="U189" s="62"/>
      <x:c r="V189" s="62"/>
      <x:c r="W189" s="62"/>
      <x:c r="X189" s="62"/>
      <x:c r="Y189" s="62"/>
      <x:c r="Z189" s="62"/>
    </x:row>
    <x:row r="190">
      <x:c r="A190" s="62"/>
      <x:c r="B190" s="62"/>
      <x:c r="C190" s="62"/>
      <x:c r="D190" s="62"/>
      <x:c r="E190" s="62"/>
      <x:c r="F190" s="62"/>
      <x:c r="G190" s="62"/>
      <x:c r="H190" s="62"/>
      <x:c r="I190" s="62"/>
      <x:c r="J190" s="62"/>
      <x:c r="K190" s="62"/>
      <x:c r="L190" s="62"/>
      <x:c r="M190" s="62"/>
      <x:c r="N190" s="62"/>
      <x:c r="O190" s="62"/>
      <x:c r="P190" s="62"/>
      <x:c r="Q190" s="62"/>
      <x:c r="R190" s="62"/>
      <x:c r="S190" s="62"/>
      <x:c r="T190" s="62"/>
      <x:c r="U190" s="62"/>
      <x:c r="V190" s="62"/>
      <x:c r="W190" s="62"/>
      <x:c r="X190" s="62"/>
      <x:c r="Y190" s="62"/>
      <x:c r="Z190" s="62"/>
    </x:row>
    <x:row r="191">
      <x:c r="A191" s="62"/>
      <x:c r="B191" s="62"/>
      <x:c r="C191" s="62"/>
      <x:c r="D191" s="62"/>
      <x:c r="E191" s="62"/>
      <x:c r="F191" s="62"/>
      <x:c r="G191" s="62"/>
      <x:c r="H191" s="62"/>
      <x:c r="I191" s="62"/>
      <x:c r="J191" s="62"/>
      <x:c r="K191" s="62"/>
      <x:c r="L191" s="62"/>
      <x:c r="M191" s="62"/>
      <x:c r="N191" s="62"/>
      <x:c r="O191" s="62"/>
      <x:c r="P191" s="62"/>
      <x:c r="Q191" s="62"/>
      <x:c r="R191" s="62"/>
      <x:c r="S191" s="62"/>
      <x:c r="T191" s="62"/>
      <x:c r="U191" s="62"/>
      <x:c r="V191" s="62"/>
      <x:c r="W191" s="62"/>
      <x:c r="X191" s="62"/>
      <x:c r="Y191" s="62"/>
      <x:c r="Z191" s="62"/>
    </x:row>
    <x:row r="192">
      <x:c r="A192" s="62"/>
      <x:c r="B192" s="62"/>
      <x:c r="C192" s="62"/>
      <x:c r="D192" s="62"/>
      <x:c r="E192" s="62"/>
      <x:c r="F192" s="62"/>
      <x:c r="G192" s="62"/>
      <x:c r="H192" s="62"/>
      <x:c r="I192" s="62"/>
      <x:c r="J192" s="62"/>
      <x:c r="K192" s="62"/>
      <x:c r="L192" s="62"/>
      <x:c r="M192" s="62"/>
      <x:c r="N192" s="62"/>
      <x:c r="O192" s="62"/>
      <x:c r="P192" s="62"/>
      <x:c r="Q192" s="62"/>
      <x:c r="R192" s="62"/>
      <x:c r="S192" s="62"/>
      <x:c r="T192" s="62"/>
      <x:c r="U192" s="62"/>
      <x:c r="V192" s="62"/>
      <x:c r="W192" s="62"/>
      <x:c r="X192" s="62"/>
      <x:c r="Y192" s="62"/>
      <x:c r="Z192" s="62"/>
    </x:row>
    <x:row r="193">
      <x:c r="A193" s="62"/>
      <x:c r="B193" s="62"/>
      <x:c r="C193" s="62"/>
      <x:c r="D193" s="62"/>
      <x:c r="E193" s="62"/>
      <x:c r="F193" s="62"/>
      <x:c r="G193" s="62"/>
      <x:c r="H193" s="62"/>
      <x:c r="I193" s="62"/>
      <x:c r="J193" s="62"/>
      <x:c r="K193" s="62"/>
      <x:c r="L193" s="62"/>
      <x:c r="M193" s="62"/>
      <x:c r="N193" s="62"/>
      <x:c r="O193" s="62"/>
      <x:c r="P193" s="62"/>
      <x:c r="Q193" s="62"/>
      <x:c r="R193" s="62"/>
      <x:c r="S193" s="62"/>
      <x:c r="T193" s="62"/>
      <x:c r="U193" s="62"/>
      <x:c r="V193" s="62"/>
      <x:c r="W193" s="62"/>
      <x:c r="X193" s="62"/>
      <x:c r="Y193" s="62"/>
      <x:c r="Z193" s="62"/>
    </x:row>
    <x:row r="194">
      <x:c r="A194" s="62"/>
      <x:c r="B194" s="62"/>
      <x:c r="C194" s="62"/>
      <x:c r="D194" s="62"/>
      <x:c r="E194" s="62"/>
      <x:c r="F194" s="62"/>
      <x:c r="G194" s="62"/>
      <x:c r="H194" s="62"/>
      <x:c r="I194" s="62"/>
      <x:c r="J194" s="62"/>
      <x:c r="K194" s="62"/>
      <x:c r="L194" s="62"/>
      <x:c r="M194" s="62"/>
      <x:c r="N194" s="62"/>
      <x:c r="O194" s="62"/>
      <x:c r="P194" s="62"/>
      <x:c r="Q194" s="62"/>
      <x:c r="R194" s="62"/>
      <x:c r="S194" s="62"/>
      <x:c r="T194" s="62"/>
      <x:c r="U194" s="62"/>
      <x:c r="V194" s="62"/>
      <x:c r="W194" s="62"/>
      <x:c r="X194" s="62"/>
      <x:c r="Y194" s="62"/>
      <x:c r="Z194" s="62"/>
    </x:row>
    <x:row r="195">
      <x:c r="A195" s="62"/>
      <x:c r="B195" s="62"/>
      <x:c r="C195" s="62"/>
      <x:c r="D195" s="62"/>
      <x:c r="E195" s="62"/>
      <x:c r="F195" s="62"/>
      <x:c r="G195" s="62"/>
      <x:c r="H195" s="62"/>
      <x:c r="I195" s="62"/>
      <x:c r="J195" s="62"/>
      <x:c r="K195" s="62"/>
      <x:c r="L195" s="62"/>
      <x:c r="M195" s="62"/>
      <x:c r="N195" s="62"/>
      <x:c r="O195" s="62"/>
      <x:c r="P195" s="62"/>
      <x:c r="Q195" s="62"/>
      <x:c r="R195" s="62"/>
      <x:c r="S195" s="62"/>
      <x:c r="T195" s="62"/>
      <x:c r="U195" s="62"/>
      <x:c r="V195" s="62"/>
      <x:c r="W195" s="62"/>
      <x:c r="X195" s="62"/>
      <x:c r="Y195" s="62"/>
      <x:c r="Z195" s="62"/>
    </x:row>
    <x:row r="196">
      <x:c r="A196" s="62"/>
      <x:c r="B196" s="62"/>
      <x:c r="C196" s="62"/>
      <x:c r="D196" s="62"/>
      <x:c r="E196" s="62"/>
      <x:c r="F196" s="62"/>
      <x:c r="G196" s="62"/>
      <x:c r="H196" s="62"/>
      <x:c r="I196" s="62"/>
      <x:c r="J196" s="62"/>
      <x:c r="K196" s="62"/>
      <x:c r="L196" s="62"/>
      <x:c r="M196" s="62"/>
      <x:c r="N196" s="62"/>
      <x:c r="O196" s="62"/>
      <x:c r="P196" s="62"/>
      <x:c r="Q196" s="62"/>
      <x:c r="R196" s="62"/>
      <x:c r="S196" s="62"/>
      <x:c r="T196" s="62"/>
      <x:c r="U196" s="62"/>
      <x:c r="V196" s="62"/>
      <x:c r="W196" s="62"/>
      <x:c r="X196" s="62"/>
      <x:c r="Y196" s="62"/>
      <x:c r="Z196" s="62"/>
    </x:row>
    <x:row r="197">
      <x:c r="A197" s="62"/>
      <x:c r="B197" s="62"/>
      <x:c r="C197" s="62"/>
      <x:c r="D197" s="62"/>
      <x:c r="E197" s="62"/>
      <x:c r="F197" s="62"/>
      <x:c r="G197" s="62"/>
      <x:c r="H197" s="62"/>
      <x:c r="I197" s="62"/>
      <x:c r="J197" s="62"/>
      <x:c r="K197" s="62"/>
      <x:c r="L197" s="62"/>
      <x:c r="M197" s="62"/>
      <x:c r="N197" s="62"/>
      <x:c r="O197" s="62"/>
      <x:c r="P197" s="62"/>
      <x:c r="Q197" s="62"/>
      <x:c r="R197" s="62"/>
      <x:c r="S197" s="62"/>
      <x:c r="T197" s="62"/>
      <x:c r="U197" s="62"/>
      <x:c r="V197" s="62"/>
      <x:c r="W197" s="62"/>
      <x:c r="X197" s="62"/>
      <x:c r="Y197" s="62"/>
      <x:c r="Z197" s="62"/>
    </x:row>
    <x:row r="198">
      <x:c r="A198" s="62"/>
      <x:c r="B198" s="62"/>
      <x:c r="C198" s="62"/>
      <x:c r="D198" s="62"/>
      <x:c r="E198" s="62"/>
      <x:c r="F198" s="62"/>
      <x:c r="G198" s="62"/>
      <x:c r="H198" s="62"/>
      <x:c r="I198" s="62"/>
      <x:c r="J198" s="62"/>
      <x:c r="K198" s="62"/>
      <x:c r="L198" s="62"/>
      <x:c r="M198" s="62"/>
      <x:c r="N198" s="62"/>
      <x:c r="O198" s="62"/>
      <x:c r="P198" s="62"/>
      <x:c r="Q198" s="62"/>
      <x:c r="R198" s="62"/>
      <x:c r="S198" s="62"/>
      <x:c r="T198" s="62"/>
      <x:c r="U198" s="62"/>
      <x:c r="V198" s="62"/>
      <x:c r="W198" s="62"/>
      <x:c r="X198" s="62"/>
      <x:c r="Y198" s="62"/>
      <x:c r="Z198" s="62"/>
    </x:row>
    <x:row r="199">
      <x:c r="A199" s="62"/>
      <x:c r="B199" s="62"/>
      <x:c r="C199" s="62"/>
      <x:c r="D199" s="62"/>
      <x:c r="E199" s="62"/>
      <x:c r="F199" s="62"/>
      <x:c r="G199" s="62"/>
      <x:c r="H199" s="62"/>
      <x:c r="I199" s="62"/>
      <x:c r="J199" s="62"/>
      <x:c r="K199" s="62"/>
      <x:c r="L199" s="62"/>
      <x:c r="M199" s="62"/>
      <x:c r="N199" s="62"/>
      <x:c r="O199" s="62"/>
      <x:c r="P199" s="62"/>
      <x:c r="Q199" s="62"/>
      <x:c r="R199" s="62"/>
      <x:c r="S199" s="62"/>
      <x:c r="T199" s="62"/>
      <x:c r="U199" s="62"/>
      <x:c r="V199" s="62"/>
      <x:c r="W199" s="62"/>
      <x:c r="X199" s="62"/>
      <x:c r="Y199" s="62"/>
      <x:c r="Z199" s="62"/>
    </x:row>
    <x:row r="200">
      <x:c r="A200" s="62"/>
      <x:c r="B200" s="62"/>
      <x:c r="C200" s="62"/>
      <x:c r="D200" s="62"/>
      <x:c r="E200" s="62"/>
      <x:c r="F200" s="62"/>
      <x:c r="G200" s="62"/>
      <x:c r="H200" s="62"/>
      <x:c r="I200" s="62"/>
      <x:c r="J200" s="62"/>
      <x:c r="K200" s="62"/>
      <x:c r="L200" s="62"/>
      <x:c r="M200" s="62"/>
      <x:c r="N200" s="62"/>
      <x:c r="O200" s="62"/>
      <x:c r="P200" s="62"/>
      <x:c r="Q200" s="62"/>
      <x:c r="R200" s="62"/>
      <x:c r="S200" s="62"/>
      <x:c r="T200" s="62"/>
      <x:c r="U200" s="62"/>
      <x:c r="V200" s="62"/>
      <x:c r="W200" s="62"/>
      <x:c r="X200" s="62"/>
      <x:c r="Y200" s="62"/>
      <x:c r="Z200" s="62"/>
    </x:row>
  </x:sheetData>
  <x:pageMargins left="0.7" right="0.7" top="0.75" bottom="0.75" header="0.3" footer="0.3"/>
</x:worksheet>
</file>